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ilm\OneDrive\Desktop\New folder (2)\"/>
    </mc:Choice>
  </mc:AlternateContent>
  <xr:revisionPtr revIDLastSave="0" documentId="8_{56B4CE03-1E04-4FC8-9D41-DEA98E55FC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SE IA MARKS FORMAT" sheetId="1" r:id="rId1"/>
    <sheet name="OTHER CIA COMPONENTS" sheetId="2" r:id="rId2"/>
    <sheet name="CONSOLIDAT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9" i="1" l="1"/>
  <c r="U11" i="1"/>
  <c r="U14" i="1"/>
  <c r="U16" i="1"/>
  <c r="U24" i="1"/>
  <c r="U25" i="1"/>
  <c r="U27" i="1"/>
  <c r="CE14" i="1"/>
  <c r="CF14" i="1" s="1"/>
  <c r="CE13" i="1"/>
  <c r="CF13" i="1" s="1"/>
  <c r="CE12" i="1"/>
  <c r="CF12" i="1" s="1"/>
  <c r="CE11" i="1"/>
  <c r="CF11" i="1" s="1"/>
  <c r="CE10" i="1"/>
  <c r="CF10" i="1" s="1"/>
  <c r="CE9" i="1"/>
  <c r="CF9" i="1" s="1"/>
  <c r="CE8" i="1"/>
  <c r="CF8" i="1" s="1"/>
  <c r="BN6" i="1"/>
  <c r="BN5" i="1"/>
  <c r="AS6" i="1"/>
  <c r="AS5" i="1"/>
  <c r="X5" i="1"/>
  <c r="U35" i="2"/>
  <c r="N35" i="2"/>
  <c r="G35" i="2"/>
  <c r="U34" i="2"/>
  <c r="N34" i="2"/>
  <c r="G34" i="2"/>
  <c r="U33" i="2"/>
  <c r="N33" i="2"/>
  <c r="G33" i="2"/>
  <c r="U32" i="2"/>
  <c r="N32" i="2"/>
  <c r="G32" i="2"/>
  <c r="U31" i="2"/>
  <c r="N31" i="2"/>
  <c r="G31" i="2"/>
  <c r="U30" i="2"/>
  <c r="N30" i="2"/>
  <c r="G30" i="2"/>
  <c r="U29" i="2"/>
  <c r="N29" i="2"/>
  <c r="G29" i="2"/>
  <c r="U28" i="2"/>
  <c r="N28" i="2"/>
  <c r="G28" i="2"/>
  <c r="U27" i="2"/>
  <c r="N27" i="2"/>
  <c r="G27" i="2"/>
  <c r="U26" i="2"/>
  <c r="N26" i="2"/>
  <c r="G26" i="2"/>
  <c r="U25" i="2"/>
  <c r="N25" i="2"/>
  <c r="G25" i="2"/>
  <c r="U24" i="2"/>
  <c r="N24" i="2"/>
  <c r="G24" i="2"/>
  <c r="U23" i="2"/>
  <c r="N23" i="2"/>
  <c r="G23" i="2"/>
  <c r="U22" i="2"/>
  <c r="N22" i="2"/>
  <c r="G22" i="2"/>
  <c r="U21" i="2"/>
  <c r="N21" i="2"/>
  <c r="G21" i="2"/>
  <c r="U20" i="2"/>
  <c r="N20" i="2"/>
  <c r="G20" i="2"/>
  <c r="U19" i="2"/>
  <c r="N19" i="2"/>
  <c r="G19" i="2"/>
  <c r="U18" i="2"/>
  <c r="N18" i="2"/>
  <c r="G18" i="2"/>
  <c r="U17" i="2"/>
  <c r="N17" i="2"/>
  <c r="G17" i="2"/>
  <c r="U16" i="2"/>
  <c r="N16" i="2"/>
  <c r="G16" i="2"/>
  <c r="U15" i="2"/>
  <c r="N15" i="2"/>
  <c r="G15" i="2"/>
  <c r="U14" i="2"/>
  <c r="N14" i="2"/>
  <c r="G14" i="2"/>
  <c r="U13" i="2"/>
  <c r="N13" i="2"/>
  <c r="G13" i="2"/>
  <c r="U12" i="2"/>
  <c r="N12" i="2"/>
  <c r="G12" i="2"/>
  <c r="U11" i="2"/>
  <c r="N11" i="2"/>
  <c r="G11" i="2"/>
  <c r="BJ27" i="1"/>
  <c r="BK27" i="1" s="1"/>
  <c r="AO27" i="1"/>
  <c r="AP27" i="1" s="1"/>
  <c r="T27" i="1"/>
  <c r="BJ26" i="1"/>
  <c r="BK26" i="1" s="1"/>
  <c r="AO26" i="1"/>
  <c r="AP26" i="1" s="1"/>
  <c r="T26" i="1"/>
  <c r="U26" i="1" s="1"/>
  <c r="BJ25" i="1"/>
  <c r="BK25" i="1" s="1"/>
  <c r="AO25" i="1"/>
  <c r="AP25" i="1" s="1"/>
  <c r="T25" i="1"/>
  <c r="BJ24" i="1"/>
  <c r="BK24" i="1" s="1"/>
  <c r="AO24" i="1"/>
  <c r="AP24" i="1" s="1"/>
  <c r="T24" i="1"/>
  <c r="BJ23" i="1"/>
  <c r="BK23" i="1" s="1"/>
  <c r="AO23" i="1"/>
  <c r="AP23" i="1" s="1"/>
  <c r="T23" i="1"/>
  <c r="U23" i="1" s="1"/>
  <c r="BJ22" i="1"/>
  <c r="BK22" i="1" s="1"/>
  <c r="AO22" i="1"/>
  <c r="AP22" i="1" s="1"/>
  <c r="T22" i="1"/>
  <c r="U22" i="1" s="1"/>
  <c r="BJ21" i="1"/>
  <c r="BK21" i="1" s="1"/>
  <c r="AO21" i="1"/>
  <c r="AP21" i="1" s="1"/>
  <c r="T21" i="1"/>
  <c r="U21" i="1" s="1"/>
  <c r="BJ20" i="1"/>
  <c r="BK20" i="1" s="1"/>
  <c r="AO20" i="1"/>
  <c r="AP20" i="1" s="1"/>
  <c r="T20" i="1"/>
  <c r="U20" i="1" s="1"/>
  <c r="BJ19" i="1"/>
  <c r="BK19" i="1" s="1"/>
  <c r="AO19" i="1"/>
  <c r="AP19" i="1" s="1"/>
  <c r="T19" i="1"/>
  <c r="U19" i="1" s="1"/>
  <c r="BJ18" i="1"/>
  <c r="BK18" i="1" s="1"/>
  <c r="AO18" i="1"/>
  <c r="AP18" i="1" s="1"/>
  <c r="T18" i="1"/>
  <c r="U18" i="1" s="1"/>
  <c r="BJ17" i="1"/>
  <c r="BK17" i="1" s="1"/>
  <c r="AO17" i="1"/>
  <c r="AP17" i="1" s="1"/>
  <c r="T17" i="1"/>
  <c r="U17" i="1" s="1"/>
  <c r="BJ16" i="1"/>
  <c r="BK16" i="1" s="1"/>
  <c r="AO16" i="1"/>
  <c r="AP16" i="1" s="1"/>
  <c r="T16" i="1"/>
  <c r="BJ15" i="1"/>
  <c r="BK15" i="1" s="1"/>
  <c r="AO15" i="1"/>
  <c r="AP15" i="1" s="1"/>
  <c r="T15" i="1"/>
  <c r="U15" i="1" s="1"/>
  <c r="BJ14" i="1"/>
  <c r="BK14" i="1" s="1"/>
  <c r="AO14" i="1"/>
  <c r="AP14" i="1" s="1"/>
  <c r="T14" i="1"/>
  <c r="BJ13" i="1"/>
  <c r="BK13" i="1" s="1"/>
  <c r="T13" i="1"/>
  <c r="U13" i="1" s="1"/>
  <c r="BJ12" i="1"/>
  <c r="BK12" i="1" s="1"/>
  <c r="AO12" i="1"/>
  <c r="AP12" i="1" s="1"/>
  <c r="T12" i="1"/>
  <c r="U12" i="1" s="1"/>
  <c r="BJ11" i="1"/>
  <c r="BK11" i="1" s="1"/>
  <c r="AO11" i="1"/>
  <c r="AP11" i="1" s="1"/>
  <c r="T11" i="1"/>
  <c r="BJ10" i="1"/>
  <c r="BK10" i="1" s="1"/>
  <c r="AO10" i="1"/>
  <c r="AP10" i="1" s="1"/>
  <c r="T10" i="1"/>
  <c r="U10" i="1" s="1"/>
  <c r="BJ9" i="1"/>
  <c r="AO9" i="1"/>
  <c r="AP9" i="1" s="1"/>
  <c r="T9" i="1"/>
  <c r="U9" i="1" s="1"/>
  <c r="BJ8" i="1"/>
  <c r="BK8" i="1" s="1"/>
  <c r="AO8" i="1"/>
  <c r="AP8" i="1" s="1"/>
  <c r="T8" i="1"/>
  <c r="U8" i="1" s="1"/>
</calcChain>
</file>

<file path=xl/sharedStrings.xml><?xml version="1.0" encoding="utf-8"?>
<sst xmlns="http://schemas.openxmlformats.org/spreadsheetml/2006/main" count="916" uniqueCount="204">
  <si>
    <t>Dayananda Sagar University</t>
  </si>
  <si>
    <t>School of Computer Applications</t>
  </si>
  <si>
    <t>MID SEMESTER EXAMINATION - MARKS LIST</t>
  </si>
  <si>
    <t>PROGRAM                     :</t>
  </si>
  <si>
    <t>BATCH     :</t>
  </si>
  <si>
    <t>SEMESTER   :</t>
  </si>
  <si>
    <t>SECTION</t>
  </si>
  <si>
    <t xml:space="preserve">COURSE CODE              : </t>
  </si>
  <si>
    <t>EXAM</t>
  </si>
  <si>
    <t>MSE 1</t>
  </si>
  <si>
    <t>MSE 2</t>
  </si>
  <si>
    <t>SL NO</t>
  </si>
  <si>
    <t>USN</t>
  </si>
  <si>
    <t>NAME</t>
  </si>
  <si>
    <t>1A</t>
  </si>
  <si>
    <t>1B</t>
  </si>
  <si>
    <t>1C</t>
  </si>
  <si>
    <t>1D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</si>
  <si>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</si>
  <si>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</si>
  <si>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</si>
  <si>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</si>
  <si>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</si>
  <si>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</si>
  <si>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</si>
  <si>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</si>
  <si>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</si>
  <si>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</si>
  <si>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4C</t>
  </si>
  <si>
    <t>4D</t>
  </si>
  <si>
    <t>Total Marks [40]</t>
  </si>
  <si>
    <t>FACULTY</t>
  </si>
  <si>
    <t>DEAN</t>
  </si>
  <si>
    <t>OTHERS CIA COMPONENTS - MARKS LIST</t>
  </si>
  <si>
    <t>PROGRAM</t>
  </si>
  <si>
    <t>BATCH</t>
  </si>
  <si>
    <t>SEMESTER</t>
  </si>
  <si>
    <t>COURSE</t>
  </si>
  <si>
    <t>COURSE CODE</t>
  </si>
  <si>
    <t>MAX MARKS</t>
  </si>
  <si>
    <t>FACULTY NAME</t>
  </si>
  <si>
    <t>OTHERS 1
[XX MARKS]</t>
  </si>
  <si>
    <t>TOTAL</t>
  </si>
  <si>
    <t>SEMESTER :</t>
  </si>
  <si>
    <t>60
 MARKS</t>
  </si>
  <si>
    <t>DEAN-SCA</t>
  </si>
  <si>
    <t>þ</t>
  </si>
  <si>
    <t>BACHELOR OF COMPUTER APPLICATIONS</t>
  </si>
  <si>
    <t>TITLE OF THE COURSE :</t>
  </si>
  <si>
    <t>IA 1
[40]</t>
  </si>
  <si>
    <t>IA 1
20 / 15</t>
  </si>
  <si>
    <t>IA 2
[40]</t>
  </si>
  <si>
    <t>IA 2
20 / 15</t>
  </si>
  <si>
    <t>MSE 3</t>
  </si>
  <si>
    <t>IA 3
[40]</t>
  </si>
  <si>
    <t>IA 3
20 / 15</t>
  </si>
  <si>
    <t xml:space="preserve">
OTHER CIA 
30 / 40 </t>
  </si>
  <si>
    <t>SECTION :</t>
  </si>
  <si>
    <t xml:space="preserve">TITLE OF THE COURSE                         : </t>
  </si>
  <si>
    <t>COURSE CODE :</t>
  </si>
  <si>
    <t>ACADEMIC CO-ORDINATOR</t>
  </si>
  <si>
    <t>ACADEIC CO-ORDINATOR</t>
  </si>
  <si>
    <t>SCA25CA0008</t>
  </si>
  <si>
    <t>SCA25CA0061</t>
  </si>
  <si>
    <t>SCA25CA0062</t>
  </si>
  <si>
    <t>SCA25CA0063</t>
  </si>
  <si>
    <t>SCA25CA0188</t>
  </si>
  <si>
    <t>SCA25CA0064</t>
  </si>
  <si>
    <t>SCA25CA0065</t>
  </si>
  <si>
    <t>SCA25CA0189</t>
  </si>
  <si>
    <t>SCA25CA0066</t>
  </si>
  <si>
    <t>SCA25CA0067</t>
  </si>
  <si>
    <t>SCA25CA0068</t>
  </si>
  <si>
    <t>SCA25CA0069</t>
  </si>
  <si>
    <t>SCA25CA0070</t>
  </si>
  <si>
    <t>SCA25CA0071</t>
  </si>
  <si>
    <t>SCA25CA0072</t>
  </si>
  <si>
    <t>SCA25CA0073</t>
  </si>
  <si>
    <t>SCA25CA0074</t>
  </si>
  <si>
    <t>SCA25CA0075</t>
  </si>
  <si>
    <t>LEKHANA.R</t>
  </si>
  <si>
    <t>LETHIKA B</t>
  </si>
  <si>
    <t>LOGANATHAN M M</t>
  </si>
  <si>
    <t>LOHITH M</t>
  </si>
  <si>
    <t>M HEENA TAJ</t>
  </si>
  <si>
    <t>M LOKESHWARI</t>
  </si>
  <si>
    <t>M MOHAMED IMADUDDIN</t>
  </si>
  <si>
    <t>M.DEEPAK</t>
  </si>
  <si>
    <t>MADHUMITHA KUMARI</t>
  </si>
  <si>
    <t>MALATHI N</t>
  </si>
  <si>
    <t>MANALIKKA</t>
  </si>
  <si>
    <t>MANASA K</t>
  </si>
  <si>
    <t>MANI K</t>
  </si>
  <si>
    <t>MANJUNATH J</t>
  </si>
  <si>
    <t>ALEKSANDR SERGEEVICH RYBAKOV</t>
  </si>
  <si>
    <t>SCA25CA0076</t>
  </si>
  <si>
    <t>MANOJ A</t>
  </si>
  <si>
    <t>SCA25CA0077</t>
  </si>
  <si>
    <t>SCA25CA0078</t>
  </si>
  <si>
    <t>SCA25CA0190</t>
  </si>
  <si>
    <t>SCA25CA0079</t>
  </si>
  <si>
    <t>SCA25CA0080</t>
  </si>
  <si>
    <t>SCA25CA0191</t>
  </si>
  <si>
    <t>SCA25CA0082</t>
  </si>
  <si>
    <t>SCA25CA0083</t>
  </si>
  <si>
    <t>SCA25CA0084</t>
  </si>
  <si>
    <t>SCA25CA0085</t>
  </si>
  <si>
    <t>SCA25CA0086</t>
  </si>
  <si>
    <t>SCA25CA0087</t>
  </si>
  <si>
    <t>SCA25CA0088</t>
  </si>
  <si>
    <t>SCA25CA0192</t>
  </si>
  <si>
    <t>SCA25CA0089</t>
  </si>
  <si>
    <t>SCA25CA0090</t>
  </si>
  <si>
    <t>SCA25CA0091</t>
  </si>
  <si>
    <t>SCA25CA0092</t>
  </si>
  <si>
    <t>SCA25CA0093</t>
  </si>
  <si>
    <t>SCA25CA0094</t>
  </si>
  <si>
    <t>SCA25CA0095</t>
  </si>
  <si>
    <t>MEENAKSHI P</t>
  </si>
  <si>
    <t>MEGHANA GOWDA C N</t>
  </si>
  <si>
    <t>MAHEAK</t>
  </si>
  <si>
    <t>MITIN SHARMA</t>
  </si>
  <si>
    <t>MOHAMMED JAZA AFREEN</t>
  </si>
  <si>
    <t>SYED MOHAMMED OWAIS</t>
  </si>
  <si>
    <t>MOHIT S</t>
  </si>
  <si>
    <t>MONICA E</t>
  </si>
  <si>
    <t>MONIKA P NAIK</t>
  </si>
  <si>
    <t>MUKESH R</t>
  </si>
  <si>
    <t>NAINITHA G Y</t>
  </si>
  <si>
    <t>NANDANA M</t>
  </si>
  <si>
    <t>NANDINI S</t>
  </si>
  <si>
    <t>NARENDRAA PRAKASH IYER</t>
  </si>
  <si>
    <t>NAVEEN KRISHNA A R</t>
  </si>
  <si>
    <t>NAVYASHRI N M</t>
  </si>
  <si>
    <t>NEHA</t>
  </si>
  <si>
    <t>NIHAL S</t>
  </si>
  <si>
    <t>NISHITHA C</t>
  </si>
  <si>
    <t>SCA25CA0096</t>
  </si>
  <si>
    <t>SCA25CA0097</t>
  </si>
  <si>
    <t>SCA25CA0098</t>
  </si>
  <si>
    <t>SCA25CA0100</t>
  </si>
  <si>
    <t>SCA25CA0101</t>
  </si>
  <si>
    <t>SCA25CA0102</t>
  </si>
  <si>
    <t>SCA25CA0103</t>
  </si>
  <si>
    <t>SCA25CA0104</t>
  </si>
  <si>
    <t>SCA25CA0105</t>
  </si>
  <si>
    <t>SCA25CA0106</t>
  </si>
  <si>
    <t>SCA25CA0107</t>
  </si>
  <si>
    <t>SCA25CA0108</t>
  </si>
  <si>
    <t>SCA25CA0109</t>
  </si>
  <si>
    <t>SCA25CA0110</t>
  </si>
  <si>
    <t>SCA25CA0111</t>
  </si>
  <si>
    <t>SCA25CA0112</t>
  </si>
  <si>
    <t>SCA25CA0113</t>
  </si>
  <si>
    <t>SCA25CA0195</t>
  </si>
  <si>
    <t>SCA25CA0196</t>
  </si>
  <si>
    <t>SCA25CA0114</t>
  </si>
  <si>
    <t>PAARTH JAI SHARMA</t>
  </si>
  <si>
    <t>PALLAVI N</t>
  </si>
  <si>
    <t>PASUPULETI GEETHIKA</t>
  </si>
  <si>
    <t>POOJA RAJASHEKHAR</t>
  </si>
  <si>
    <t>POOJA S</t>
  </si>
  <si>
    <t>POOJITHA M V</t>
  </si>
  <si>
    <t>PRADEESH S</t>
  </si>
  <si>
    <t>PRAJWAL H M</t>
  </si>
  <si>
    <t>PRATEEK TAMANG</t>
  </si>
  <si>
    <t>PRATHIKSHA</t>
  </si>
  <si>
    <t>PRITHWISH BISWAS</t>
  </si>
  <si>
    <t>PRITIKA RAI</t>
  </si>
  <si>
    <t>RAIHAN SHAIK</t>
  </si>
  <si>
    <t>RAJVEER SHUKLA</t>
  </si>
  <si>
    <t>RAKSHITH G M</t>
  </si>
  <si>
    <t>RAM SHANKAR LOHAR</t>
  </si>
  <si>
    <t>RAMYA S</t>
  </si>
  <si>
    <t>SCA25CA0115</t>
  </si>
  <si>
    <t>SCA25CA0197</t>
  </si>
  <si>
    <t>SCA25CA0116</t>
  </si>
  <si>
    <t>SCA25CA0117</t>
  </si>
  <si>
    <t>SCA25CA0118</t>
  </si>
  <si>
    <t>SCA25CA0187</t>
  </si>
  <si>
    <t>RASHMI S</t>
  </si>
  <si>
    <t>RAVI PRAKASH RAI</t>
  </si>
  <si>
    <t>RESHMA MANICKAM</t>
  </si>
  <si>
    <t>REVANTH A</t>
  </si>
  <si>
    <t>ROCHAN M</t>
  </si>
  <si>
    <t>LEKHANA M NAYAK</t>
  </si>
  <si>
    <t>Total Marks [30]</t>
  </si>
  <si>
    <t>AB</t>
  </si>
  <si>
    <t xml:space="preserve">Ab </t>
  </si>
  <si>
    <t>Ab</t>
  </si>
  <si>
    <t xml:space="preserve">LIKITH GOWDA S </t>
  </si>
  <si>
    <t xml:space="preserve">PRATHIBHA L.U </t>
  </si>
  <si>
    <t xml:space="preserve">M GOWTHAM </t>
  </si>
  <si>
    <t xml:space="preserve">M JAGADEEP </t>
  </si>
  <si>
    <t xml:space="preserve">MANOJ M </t>
  </si>
  <si>
    <t xml:space="preserve">MOLY PATHAK </t>
  </si>
  <si>
    <t xml:space="preserve">PRITAM GUHA </t>
  </si>
  <si>
    <t>_</t>
  </si>
  <si>
    <t>2025-26</t>
  </si>
  <si>
    <t>I</t>
  </si>
  <si>
    <t>B</t>
  </si>
  <si>
    <t>25BCA1102</t>
  </si>
  <si>
    <t>Programming in c</t>
  </si>
  <si>
    <t xml:space="preserve">PEDDYMI  REDDY SOPHANA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</si>
</sst>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5"/>
      <color rgb="FF002060"/>
      <name val="Cambria"/>
    </font>
    <font>
      <b/>
      <sz val="20"/>
      <color theme="1"/>
      <name val="Cambria"/>
    </font>
    <font>
      <b/>
      <u/>
      <sz val="16"/>
      <color theme="1"/>
      <name val="Calibri"/>
    </font>
    <font>
      <sz val="11"/>
      <name val="Calibri"/>
    </font>
    <font>
      <b/>
      <sz val="12"/>
      <color theme="1"/>
      <name val="Calibri"/>
    </font>
    <font>
      <sz val="13"/>
      <color theme="1"/>
      <name val="Calibri"/>
    </font>
    <font>
      <sz val="12"/>
      <color theme="1"/>
      <name val="Calibri"/>
    </font>
    <font>
      <b/>
      <sz val="12"/>
      <color theme="1"/>
      <name val="Cambria"/>
    </font>
    <font>
      <sz val="13"/>
      <color theme="1"/>
      <name val="Cambria"/>
    </font>
    <font>
      <sz val="11"/>
      <color theme="1"/>
      <name val="Cambria"/>
    </font>
    <font>
      <b/>
      <sz val="11"/>
      <color theme="1"/>
      <name val="Cambria"/>
    </font>
    <font>
      <sz val="12"/>
      <color theme="1"/>
      <name val="Cambria"/>
    </font>
    <font>
      <sz val="14"/>
      <color theme="1"/>
      <name val="Cambria"/>
    </font>
    <font>
      <b/>
      <sz val="14"/>
      <color theme="1"/>
      <name val="Cambria"/>
    </font>
    <font>
      <b/>
      <sz val="11"/>
      <color theme="1"/>
      <name val="Calibri"/>
    </font>
    <font>
      <sz val="11"/>
      <color theme="1"/>
      <name val="Calibri"/>
    </font>
    <font>
      <b/>
      <u/>
      <sz val="16"/>
      <color theme="1"/>
      <name val="Arial Black"/>
    </font>
    <font>
      <b/>
      <sz val="15"/>
      <color theme="1"/>
      <name val="Wingdings"/>
      <charset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mbria"/>
      <family val="1"/>
    </font>
    <font>
      <sz val="11"/>
      <name val="Calibri"/>
      <family val="2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2"/>
      <color theme="1"/>
      <name val="Cambria"/>
      <family val="1"/>
    </font>
    <font>
      <sz val="13"/>
      <color theme="1"/>
      <name val="Cambria"/>
      <family val="1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2" fillId="0" borderId="4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1" fillId="0" borderId="0" xfId="0" applyFont="1"/>
    <xf numFmtId="0" fontId="17" fillId="0" borderId="4" xfId="0" applyFont="1" applyBorder="1"/>
    <xf numFmtId="0" fontId="17" fillId="0" borderId="5" xfId="0" applyFont="1" applyBorder="1"/>
    <xf numFmtId="0" fontId="17" fillId="0" borderId="5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9" fillId="0" borderId="4" xfId="0" applyFont="1" applyBorder="1" applyAlignment="1">
      <alignment vertical="center"/>
    </xf>
    <xf numFmtId="0" fontId="5" fillId="0" borderId="4" xfId="0" applyFont="1" applyBorder="1"/>
    <xf numFmtId="0" fontId="20" fillId="0" borderId="3" xfId="0" applyFont="1" applyBorder="1"/>
    <xf numFmtId="15" fontId="10" fillId="0" borderId="4" xfId="0" applyNumberFormat="1" applyFont="1" applyBorder="1" applyAlignment="1">
      <alignment vertical="center"/>
    </xf>
    <xf numFmtId="0" fontId="23" fillId="0" borderId="4" xfId="0" applyFont="1" applyBorder="1"/>
    <xf numFmtId="0" fontId="13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15" xfId="0" applyBorder="1" applyAlignment="1">
      <alignment horizontal="left" vertical="center" wrapText="1"/>
    </xf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0" fontId="10" fillId="0" borderId="1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/>
    <xf numFmtId="0" fontId="5" fillId="0" borderId="4" xfId="0" applyFont="1" applyBorder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5" fillId="0" borderId="11" xfId="0" applyFont="1" applyBorder="1"/>
    <xf numFmtId="0" fontId="9" fillId="2" borderId="7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9" fillId="2" borderId="9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/>
    </xf>
    <xf numFmtId="0" fontId="24" fillId="0" borderId="4" xfId="0" applyFont="1" applyBorder="1" applyAlignment="1">
      <alignment vertical="center"/>
    </xf>
    <xf numFmtId="0" fontId="27" fillId="0" borderId="4" xfId="0" applyFont="1" applyBorder="1" applyAlignment="1">
      <alignment horizontal="left" vertical="center"/>
    </xf>
    <xf numFmtId="0" fontId="29" fillId="0" borderId="4" xfId="0" applyFont="1" applyBorder="1" applyAlignment="1">
      <alignment horizontal="center"/>
    </xf>
    <xf numFmtId="0" fontId="28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0</xdr:rowOff>
    </xdr:from>
    <xdr:ext cx="1038225" cy="952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300" y="0"/>
          <a:ext cx="1038225" cy="952500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828675</xdr:colOff>
      <xdr:row>0</xdr:row>
      <xdr:rowOff>19050</xdr:rowOff>
    </xdr:from>
    <xdr:ext cx="1028700" cy="952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828675</xdr:colOff>
      <xdr:row>0</xdr:row>
      <xdr:rowOff>19050</xdr:rowOff>
    </xdr:from>
    <xdr:ext cx="1028700" cy="952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828675</xdr:colOff>
      <xdr:row>0</xdr:row>
      <xdr:rowOff>19050</xdr:rowOff>
    </xdr:from>
    <xdr:ext cx="1028700" cy="952500"/>
    <xdr:pic>
      <xdr:nvPicPr>
        <xdr:cNvPr id="5" name="image1.png">
          <a:extLst>
            <a:ext uri="{FF2B5EF4-FFF2-40B4-BE49-F238E27FC236}">
              <a16:creationId xmlns:a16="http://schemas.microsoft.com/office/drawing/2014/main" id="{8D0B613D-1106-491A-BAE9-A713BA42E1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033355" y="19050"/>
          <a:ext cx="1028700" cy="9525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64</xdr:col>
      <xdr:colOff>822960</xdr:colOff>
      <xdr:row>0</xdr:row>
      <xdr:rowOff>15240</xdr:rowOff>
    </xdr:from>
    <xdr:to>
      <xdr:col>65</xdr:col>
      <xdr:colOff>685800</xdr:colOff>
      <xdr:row>2</xdr:row>
      <xdr:rowOff>220980</xdr:rowOff>
    </xdr:to>
    <xdr:pic>
      <xdr:nvPicPr>
        <xdr:cNvPr id="6" name="image1.png">
          <a:extLst>
            <a:ext uri="{FF2B5EF4-FFF2-40B4-BE49-F238E27FC236}">
              <a16:creationId xmlns:a16="http://schemas.microsoft.com/office/drawing/2014/main" id="{EB01542B-A847-D888-E1B7-2B7F93D6B26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62340" y="15240"/>
          <a:ext cx="103632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43</xdr:col>
      <xdr:colOff>822960</xdr:colOff>
      <xdr:row>0</xdr:row>
      <xdr:rowOff>15240</xdr:rowOff>
    </xdr:from>
    <xdr:to>
      <xdr:col>44</xdr:col>
      <xdr:colOff>685800</xdr:colOff>
      <xdr:row>2</xdr:row>
      <xdr:rowOff>220980</xdr:rowOff>
    </xdr:to>
    <xdr:pic>
      <xdr:nvPicPr>
        <xdr:cNvPr id="1025" name="image1.png">
          <a:extLst>
            <a:ext uri="{FF2B5EF4-FFF2-40B4-BE49-F238E27FC236}">
              <a16:creationId xmlns:a16="http://schemas.microsoft.com/office/drawing/2014/main" id="{C5C6495C-6EFB-06C5-78A2-4AD91DA46EE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27640" y="15240"/>
          <a:ext cx="103632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47625</xdr:rowOff>
    </xdr:from>
    <xdr:ext cx="1047750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295275</xdr:colOff>
      <xdr:row>0</xdr:row>
      <xdr:rowOff>47625</xdr:rowOff>
    </xdr:from>
    <xdr:ext cx="1104900" cy="10287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314325</xdr:colOff>
      <xdr:row>0</xdr:row>
      <xdr:rowOff>38100</xdr:rowOff>
    </xdr:from>
    <xdr:ext cx="1066800" cy="9906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0</xdr:row>
      <xdr:rowOff>47625</xdr:rowOff>
    </xdr:from>
    <xdr:ext cx="1095375" cy="10191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76200</xdr:colOff>
      <xdr:row>0</xdr:row>
      <xdr:rowOff>47625</xdr:rowOff>
    </xdr:from>
    <xdr:ext cx="1095375" cy="1019175"/>
    <xdr:pic>
      <xdr:nvPicPr>
        <xdr:cNvPr id="5" name="image1.png">
          <a:extLst>
            <a:ext uri="{FF2B5EF4-FFF2-40B4-BE49-F238E27FC236}">
              <a16:creationId xmlns:a16="http://schemas.microsoft.com/office/drawing/2014/main" id="{537AB000-C5E5-44FC-B6B8-CA8FABAED2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52450" y="47625"/>
          <a:ext cx="109537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76200</xdr:colOff>
      <xdr:row>0</xdr:row>
      <xdr:rowOff>47625</xdr:rowOff>
    </xdr:from>
    <xdr:ext cx="1095375" cy="1019175"/>
    <xdr:pic>
      <xdr:nvPicPr>
        <xdr:cNvPr id="6" name="image1.png">
          <a:extLst>
            <a:ext uri="{FF2B5EF4-FFF2-40B4-BE49-F238E27FC236}">
              <a16:creationId xmlns:a16="http://schemas.microsoft.com/office/drawing/2014/main" id="{A545DFCD-CEC5-4BBF-9B55-E5607E8C96B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53750" y="47625"/>
          <a:ext cx="109537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34</xdr:col>
      <xdr:colOff>76200</xdr:colOff>
      <xdr:row>0</xdr:row>
      <xdr:rowOff>47625</xdr:rowOff>
    </xdr:from>
    <xdr:ext cx="1095375" cy="1019175"/>
    <xdr:pic>
      <xdr:nvPicPr>
        <xdr:cNvPr id="3" name="image1.png">
          <a:extLst>
            <a:ext uri="{FF2B5EF4-FFF2-40B4-BE49-F238E27FC236}">
              <a16:creationId xmlns:a16="http://schemas.microsoft.com/office/drawing/2014/main" id="{0B32AEFC-BC3F-4624-A1AC-19445E0A3A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006560" y="47625"/>
          <a:ext cx="1095375" cy="10191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F1000"/>
  <sheetViews>
    <sheetView tabSelected="1" topLeftCell="A6" workbookViewId="0">
      <selection activeCell="F20" sqref="F20"/>
    </sheetView>
  </sheetViews>
  <sheetFormatPr defaultColWidth="14.44140625" defaultRowHeight="15" customHeight="1" x14ac:dyDescent="0.3"/>
  <cols>
    <col min="1" max="1" width="7.109375" customWidth="1"/>
    <col min="2" max="2" width="17.109375" customWidth="1"/>
    <col min="3" max="3" width="29.88671875" style="42" customWidth="1"/>
    <col min="4" max="15" width="5.33203125" customWidth="1"/>
    <col min="16" max="16" width="4.88671875" customWidth="1"/>
    <col min="17" max="18" width="5.33203125" customWidth="1"/>
    <col min="19" max="19" width="5.6640625" hidden="1" customWidth="1"/>
    <col min="20" max="20" width="9.33203125" customWidth="1"/>
    <col min="21" max="21" width="9.44140625" customWidth="1"/>
    <col min="22" max="22" width="7.109375" customWidth="1"/>
    <col min="23" max="23" width="17.109375" customWidth="1"/>
    <col min="24" max="24" width="30" style="42" customWidth="1"/>
    <col min="25" max="37" width="5.33203125" customWidth="1"/>
    <col min="38" max="38" width="5.44140625" customWidth="1"/>
    <col min="39" max="40" width="5.33203125" customWidth="1"/>
    <col min="41" max="41" width="9.33203125" customWidth="1"/>
    <col min="42" max="42" width="9.44140625" customWidth="1"/>
    <col min="43" max="43" width="7.109375" customWidth="1"/>
    <col min="44" max="44" width="17.109375" customWidth="1"/>
    <col min="45" max="45" width="30" customWidth="1"/>
    <col min="46" max="58" width="5.33203125" customWidth="1"/>
    <col min="59" max="59" width="6.44140625" customWidth="1"/>
    <col min="60" max="61" width="5.33203125" customWidth="1"/>
    <col min="62" max="62" width="9.33203125" customWidth="1"/>
    <col min="63" max="63" width="9.44140625" customWidth="1"/>
    <col min="64" max="64" width="7.109375" customWidth="1"/>
    <col min="65" max="65" width="17.109375" customWidth="1"/>
    <col min="66" max="66" width="30" customWidth="1"/>
    <col min="67" max="79" width="5.33203125" customWidth="1"/>
    <col min="80" max="80" width="6.44140625" customWidth="1"/>
    <col min="81" max="82" width="5.33203125" customWidth="1"/>
    <col min="83" max="83" width="9.33203125" customWidth="1"/>
    <col min="84" max="84" width="9.44140625" customWidth="1"/>
  </cols>
  <sheetData>
    <row r="1" spans="1:84" ht="29.25" customHeight="1" x14ac:dyDescent="0.3">
      <c r="A1" s="52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52" t="s">
        <v>0</v>
      </c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52" t="s">
        <v>0</v>
      </c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52" t="s">
        <v>0</v>
      </c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</row>
    <row r="2" spans="1:84" ht="30" customHeight="1" x14ac:dyDescent="0.3">
      <c r="A2" s="53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53" t="s">
        <v>1</v>
      </c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53" t="s">
        <v>1</v>
      </c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53" t="s">
        <v>1</v>
      </c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</row>
    <row r="3" spans="1:84" ht="26.25" customHeight="1" x14ac:dyDescent="0.3">
      <c r="A3" s="49" t="s">
        <v>2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1"/>
      <c r="V3" s="49" t="s">
        <v>2</v>
      </c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1"/>
      <c r="AQ3" s="49" t="s">
        <v>2</v>
      </c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1"/>
      <c r="BL3" s="49" t="s">
        <v>2</v>
      </c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1"/>
    </row>
    <row r="4" spans="1:84" ht="9.75" customHeight="1" x14ac:dyDescent="0.3">
      <c r="A4" s="1"/>
      <c r="B4" s="2"/>
      <c r="C4" s="39"/>
      <c r="D4" s="1"/>
      <c r="E4" s="3"/>
      <c r="V4" s="1"/>
      <c r="W4" s="2"/>
      <c r="X4" s="39"/>
      <c r="Y4" s="1"/>
      <c r="Z4" s="3"/>
      <c r="AQ4" s="1"/>
      <c r="AR4" s="2"/>
      <c r="AS4" s="2"/>
      <c r="AT4" s="1"/>
      <c r="AU4" s="3"/>
      <c r="BL4" s="1"/>
      <c r="BM4" s="2"/>
      <c r="BN4" s="2"/>
      <c r="BO4" s="1"/>
      <c r="BP4" s="3"/>
    </row>
    <row r="5" spans="1:84" ht="26.25" customHeight="1" x14ac:dyDescent="0.3">
      <c r="A5" s="47" t="s">
        <v>3</v>
      </c>
      <c r="B5" s="45"/>
      <c r="C5" s="43" t="s">
        <v>47</v>
      </c>
      <c r="D5" s="43"/>
      <c r="E5" s="43"/>
      <c r="F5" s="43"/>
      <c r="G5" s="43"/>
      <c r="H5" s="54" t="s">
        <v>4</v>
      </c>
      <c r="I5" s="54"/>
      <c r="J5" s="54"/>
      <c r="K5" s="79" t="s">
        <v>198</v>
      </c>
      <c r="L5" s="46"/>
      <c r="M5" s="44" t="s">
        <v>5</v>
      </c>
      <c r="N5" s="45"/>
      <c r="O5" s="45"/>
      <c r="P5" s="79" t="s">
        <v>199</v>
      </c>
      <c r="Q5" s="46"/>
      <c r="S5" s="44" t="s">
        <v>6</v>
      </c>
      <c r="T5" s="45"/>
      <c r="U5" s="80" t="s">
        <v>200</v>
      </c>
      <c r="V5" s="47" t="s">
        <v>3</v>
      </c>
      <c r="W5" s="45"/>
      <c r="X5" s="43" t="str">
        <f>C5</f>
        <v>BACHELOR OF COMPUTER APPLICATIONS</v>
      </c>
      <c r="Y5" s="43"/>
      <c r="Z5" s="43"/>
      <c r="AA5" s="43"/>
      <c r="AB5" s="43"/>
      <c r="AC5" s="54" t="s">
        <v>4</v>
      </c>
      <c r="AD5" s="54"/>
      <c r="AE5" s="54"/>
      <c r="AF5" s="79" t="s">
        <v>198</v>
      </c>
      <c r="AG5" s="46"/>
      <c r="AH5" s="44" t="s">
        <v>5</v>
      </c>
      <c r="AI5" s="45"/>
      <c r="AJ5" s="45"/>
      <c r="AK5" s="79" t="s">
        <v>199</v>
      </c>
      <c r="AL5" s="46"/>
      <c r="AN5" s="44" t="s">
        <v>6</v>
      </c>
      <c r="AO5" s="45"/>
      <c r="AP5" s="80" t="s">
        <v>200</v>
      </c>
      <c r="AQ5" s="47" t="s">
        <v>3</v>
      </c>
      <c r="AR5" s="45"/>
      <c r="AS5" s="43" t="str">
        <f>X5</f>
        <v>BACHELOR OF COMPUTER APPLICATIONS</v>
      </c>
      <c r="AT5" s="43"/>
      <c r="AU5" s="43"/>
      <c r="AV5" s="43"/>
      <c r="AW5" s="43"/>
      <c r="AX5" s="54" t="s">
        <v>4</v>
      </c>
      <c r="AY5" s="54"/>
      <c r="AZ5" s="54"/>
      <c r="BA5" s="79" t="s">
        <v>198</v>
      </c>
      <c r="BB5" s="46"/>
      <c r="BC5" s="44" t="s">
        <v>5</v>
      </c>
      <c r="BD5" s="45"/>
      <c r="BE5" s="45"/>
      <c r="BF5" s="79" t="s">
        <v>199</v>
      </c>
      <c r="BG5" s="46"/>
      <c r="BI5" s="44" t="s">
        <v>6</v>
      </c>
      <c r="BJ5" s="45"/>
      <c r="BK5" s="80" t="s">
        <v>200</v>
      </c>
      <c r="BL5" s="47" t="s">
        <v>3</v>
      </c>
      <c r="BM5" s="45"/>
      <c r="BN5" s="43" t="str">
        <f>AS5</f>
        <v>BACHELOR OF COMPUTER APPLICATIONS</v>
      </c>
      <c r="BO5" s="43"/>
      <c r="BP5" s="43"/>
      <c r="BQ5" s="43"/>
      <c r="BR5" s="43"/>
      <c r="BS5" s="54" t="s">
        <v>4</v>
      </c>
      <c r="BT5" s="54"/>
      <c r="BU5" s="54"/>
      <c r="BV5" s="79" t="s">
        <v>198</v>
      </c>
      <c r="BW5" s="46"/>
      <c r="BX5" s="44" t="s">
        <v>5</v>
      </c>
      <c r="BY5" s="45"/>
      <c r="BZ5" s="45"/>
      <c r="CA5" s="79" t="s">
        <v>199</v>
      </c>
      <c r="CB5" s="46"/>
      <c r="CD5" s="44" t="s">
        <v>6</v>
      </c>
      <c r="CE5" s="45"/>
      <c r="CF5" s="80" t="s">
        <v>200</v>
      </c>
    </row>
    <row r="6" spans="1:84" ht="32.25" customHeight="1" x14ac:dyDescent="0.35">
      <c r="A6" s="48" t="s">
        <v>7</v>
      </c>
      <c r="B6" s="45"/>
      <c r="C6" s="81" t="s">
        <v>201</v>
      </c>
      <c r="D6" s="57" t="s">
        <v>48</v>
      </c>
      <c r="E6" s="57"/>
      <c r="F6" s="57"/>
      <c r="G6" s="57"/>
      <c r="H6" s="57"/>
      <c r="I6" s="82" t="s">
        <v>202</v>
      </c>
      <c r="J6" s="56"/>
      <c r="K6" s="56"/>
      <c r="L6" s="56"/>
      <c r="M6" s="56"/>
      <c r="N6" s="56"/>
      <c r="O6" s="56"/>
      <c r="P6" s="56"/>
      <c r="Q6" s="56"/>
      <c r="R6" s="4" t="s">
        <v>8</v>
      </c>
      <c r="T6" s="29" t="s">
        <v>46</v>
      </c>
      <c r="U6" s="5" t="s">
        <v>9</v>
      </c>
      <c r="V6" s="48" t="s">
        <v>7</v>
      </c>
      <c r="W6" s="45"/>
      <c r="X6" s="81" t="s">
        <v>201</v>
      </c>
      <c r="Y6" s="57" t="s">
        <v>48</v>
      </c>
      <c r="Z6" s="57"/>
      <c r="AA6" s="57"/>
      <c r="AB6" s="57"/>
      <c r="AC6" s="57"/>
      <c r="AD6" s="83" t="s">
        <v>202</v>
      </c>
      <c r="AE6" s="56"/>
      <c r="AF6" s="56"/>
      <c r="AG6" s="56"/>
      <c r="AH6" s="56"/>
      <c r="AI6" s="56"/>
      <c r="AJ6" s="56"/>
      <c r="AK6" s="56"/>
      <c r="AL6" s="56"/>
      <c r="AM6" s="4" t="s">
        <v>8</v>
      </c>
      <c r="AO6" s="29" t="s">
        <v>46</v>
      </c>
      <c r="AP6" s="5" t="s">
        <v>9</v>
      </c>
      <c r="AQ6" s="48" t="s">
        <v>7</v>
      </c>
      <c r="AR6" s="45"/>
      <c r="AS6" s="21" t="str">
        <f>X6</f>
        <v>25BCA1102</v>
      </c>
      <c r="AT6" s="57" t="s">
        <v>48</v>
      </c>
      <c r="AU6" s="57"/>
      <c r="AV6" s="57"/>
      <c r="AW6" s="57"/>
      <c r="AX6" s="57"/>
      <c r="AY6" s="83" t="s">
        <v>202</v>
      </c>
      <c r="AZ6" s="56"/>
      <c r="BA6" s="56"/>
      <c r="BB6" s="56"/>
      <c r="BC6" s="56"/>
      <c r="BD6" s="56"/>
      <c r="BE6" s="56"/>
      <c r="BF6" s="56"/>
      <c r="BG6" s="56"/>
      <c r="BH6" s="4" t="s">
        <v>8</v>
      </c>
      <c r="BJ6" s="29" t="s">
        <v>46</v>
      </c>
      <c r="BK6" s="5" t="s">
        <v>9</v>
      </c>
      <c r="BL6" s="48" t="s">
        <v>7</v>
      </c>
      <c r="BM6" s="45"/>
      <c r="BN6" s="21" t="str">
        <f>AS6</f>
        <v>25BCA1102</v>
      </c>
      <c r="BO6" s="57" t="s">
        <v>48</v>
      </c>
      <c r="BP6" s="57"/>
      <c r="BQ6" s="57"/>
      <c r="BR6" s="57"/>
      <c r="BS6" s="57"/>
      <c r="BT6" s="83" t="s">
        <v>202</v>
      </c>
      <c r="BU6" s="56"/>
      <c r="BV6" s="56"/>
      <c r="BW6" s="56"/>
      <c r="BX6" s="56"/>
      <c r="BY6" s="56"/>
      <c r="BZ6" s="56"/>
      <c r="CA6" s="56"/>
      <c r="CB6" s="56"/>
      <c r="CC6" s="4" t="s">
        <v>8</v>
      </c>
      <c r="CE6" s="29" t="s">
        <v>46</v>
      </c>
      <c r="CF6" s="5" t="s">
        <v>9</v>
      </c>
    </row>
    <row r="7" spans="1:84" ht="52.5" customHeight="1" x14ac:dyDescent="0.3">
      <c r="A7" s="6" t="s">
        <v>11</v>
      </c>
      <c r="B7" s="6" t="s">
        <v>12</v>
      </c>
      <c r="C7" s="6" t="s">
        <v>13</v>
      </c>
      <c r="D7" s="6" t="s">
        <v>14</v>
      </c>
      <c r="E7" s="7" t="s">
        <v>15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21</v>
      </c>
      <c r="L7" s="6" t="s">
        <v>22</v>
      </c>
      <c r="M7" s="6" t="s">
        <v>23</v>
      </c>
      <c r="N7" s="6" t="s">
        <v>24</v>
      </c>
      <c r="O7" s="6" t="s">
        <v>25</v>
      </c>
      <c r="P7" s="6" t="s">
        <v>26</v>
      </c>
      <c r="Q7" s="6" t="s">
        <v>27</v>
      </c>
      <c r="R7" s="6" t="s">
        <v>28</v>
      </c>
      <c r="S7" s="6" t="s">
        <v>29</v>
      </c>
      <c r="T7" s="6" t="s">
        <v>30</v>
      </c>
      <c r="U7" s="6" t="s">
        <v>186</v>
      </c>
      <c r="V7" s="6" t="s">
        <v>11</v>
      </c>
      <c r="W7" s="6" t="s">
        <v>12</v>
      </c>
      <c r="X7" s="6" t="s">
        <v>13</v>
      </c>
      <c r="Y7" s="6" t="s">
        <v>14</v>
      </c>
      <c r="Z7" s="7" t="s">
        <v>15</v>
      </c>
      <c r="AA7" s="6" t="s">
        <v>16</v>
      </c>
      <c r="AB7" s="6" t="s">
        <v>17</v>
      </c>
      <c r="AC7" s="6" t="s">
        <v>18</v>
      </c>
      <c r="AD7" s="6" t="s">
        <v>19</v>
      </c>
      <c r="AE7" s="6" t="s">
        <v>20</v>
      </c>
      <c r="AF7" s="6" t="s">
        <v>21</v>
      </c>
      <c r="AG7" s="6" t="s">
        <v>22</v>
      </c>
      <c r="AH7" s="6" t="s">
        <v>23</v>
      </c>
      <c r="AI7" s="6" t="s">
        <v>24</v>
      </c>
      <c r="AJ7" s="6" t="s">
        <v>25</v>
      </c>
      <c r="AK7" s="6" t="s">
        <v>26</v>
      </c>
      <c r="AL7" s="6" t="s">
        <v>27</v>
      </c>
      <c r="AM7" s="6" t="s">
        <v>28</v>
      </c>
      <c r="AN7" s="6" t="s">
        <v>29</v>
      </c>
      <c r="AO7" s="6" t="s">
        <v>30</v>
      </c>
      <c r="AP7" s="6" t="s">
        <v>186</v>
      </c>
      <c r="AQ7" s="6" t="s">
        <v>11</v>
      </c>
      <c r="AR7" s="6" t="s">
        <v>12</v>
      </c>
      <c r="AS7" s="6" t="s">
        <v>13</v>
      </c>
      <c r="AT7" s="6" t="s">
        <v>14</v>
      </c>
      <c r="AU7" s="7" t="s">
        <v>15</v>
      </c>
      <c r="AV7" s="6" t="s">
        <v>16</v>
      </c>
      <c r="AW7" s="6" t="s">
        <v>17</v>
      </c>
      <c r="AX7" s="6" t="s">
        <v>18</v>
      </c>
      <c r="AY7" s="6" t="s">
        <v>19</v>
      </c>
      <c r="AZ7" s="6" t="s">
        <v>20</v>
      </c>
      <c r="BA7" s="6" t="s">
        <v>21</v>
      </c>
      <c r="BB7" s="6" t="s">
        <v>22</v>
      </c>
      <c r="BC7" s="6" t="s">
        <v>23</v>
      </c>
      <c r="BD7" s="6" t="s">
        <v>24</v>
      </c>
      <c r="BE7" s="6" t="s">
        <v>25</v>
      </c>
      <c r="BF7" s="6" t="s">
        <v>26</v>
      </c>
      <c r="BG7" s="6" t="s">
        <v>27</v>
      </c>
      <c r="BH7" s="6" t="s">
        <v>28</v>
      </c>
      <c r="BI7" s="6" t="s">
        <v>29</v>
      </c>
      <c r="BJ7" s="6" t="s">
        <v>30</v>
      </c>
      <c r="BK7" s="6" t="s">
        <v>186</v>
      </c>
      <c r="BL7" s="6" t="s">
        <v>11</v>
      </c>
      <c r="BM7" s="6" t="s">
        <v>12</v>
      </c>
      <c r="BN7" s="6" t="s">
        <v>13</v>
      </c>
      <c r="BO7" s="6" t="s">
        <v>14</v>
      </c>
      <c r="BP7" s="7" t="s">
        <v>15</v>
      </c>
      <c r="BQ7" s="6" t="s">
        <v>16</v>
      </c>
      <c r="BR7" s="6" t="s">
        <v>17</v>
      </c>
      <c r="BS7" s="6" t="s">
        <v>18</v>
      </c>
      <c r="BT7" s="6" t="s">
        <v>19</v>
      </c>
      <c r="BU7" s="6" t="s">
        <v>20</v>
      </c>
      <c r="BV7" s="6" t="s">
        <v>21</v>
      </c>
      <c r="BW7" s="6" t="s">
        <v>22</v>
      </c>
      <c r="BX7" s="6" t="s">
        <v>23</v>
      </c>
      <c r="BY7" s="6" t="s">
        <v>24</v>
      </c>
      <c r="BZ7" s="6" t="s">
        <v>25</v>
      </c>
      <c r="CA7" s="6" t="s">
        <v>26</v>
      </c>
      <c r="CB7" s="6" t="s">
        <v>27</v>
      </c>
      <c r="CC7" s="6" t="s">
        <v>28</v>
      </c>
      <c r="CD7" s="6" t="s">
        <v>29</v>
      </c>
      <c r="CE7" s="6" t="s">
        <v>30</v>
      </c>
      <c r="CF7" s="6" t="s">
        <v>186</v>
      </c>
    </row>
    <row r="8" spans="1:84" s="38" customFormat="1" ht="18.75" customHeight="1" x14ac:dyDescent="0.3">
      <c r="A8" s="8">
        <v>1</v>
      </c>
      <c r="B8" s="37" t="s">
        <v>62</v>
      </c>
      <c r="C8" s="40" t="s">
        <v>94</v>
      </c>
      <c r="D8" s="73">
        <v>2</v>
      </c>
      <c r="E8" s="72">
        <v>1</v>
      </c>
      <c r="F8" s="11">
        <v>0</v>
      </c>
      <c r="G8" s="73" t="s">
        <v>197</v>
      </c>
      <c r="H8" s="11">
        <v>2.5</v>
      </c>
      <c r="I8" s="11">
        <v>0</v>
      </c>
      <c r="J8" s="11">
        <v>2</v>
      </c>
      <c r="K8" s="11">
        <v>0</v>
      </c>
      <c r="L8" s="11">
        <v>0</v>
      </c>
      <c r="M8" s="11">
        <v>2</v>
      </c>
      <c r="N8" s="11">
        <v>0</v>
      </c>
      <c r="O8" s="73" t="s">
        <v>197</v>
      </c>
      <c r="P8" s="11">
        <v>2</v>
      </c>
      <c r="Q8" s="11">
        <v>1</v>
      </c>
      <c r="R8" s="11">
        <v>0</v>
      </c>
      <c r="S8" s="11"/>
      <c r="T8" s="11">
        <f t="shared" ref="T8:T27" si="0">SUM(D8:S8)</f>
        <v>12.5</v>
      </c>
      <c r="U8" s="11">
        <f>ROUND(T8*0.75,2)</f>
        <v>9.3800000000000008</v>
      </c>
      <c r="V8" s="8">
        <v>21</v>
      </c>
      <c r="W8" s="37" t="s">
        <v>98</v>
      </c>
      <c r="X8" s="40" t="s">
        <v>118</v>
      </c>
      <c r="Y8" s="73">
        <v>1</v>
      </c>
      <c r="Z8" s="72">
        <v>2.5</v>
      </c>
      <c r="AA8" s="73">
        <v>0</v>
      </c>
      <c r="AB8" s="73" t="s">
        <v>197</v>
      </c>
      <c r="AC8" s="73">
        <v>2.5</v>
      </c>
      <c r="AD8" s="73">
        <v>2</v>
      </c>
      <c r="AE8" s="73">
        <v>2.5</v>
      </c>
      <c r="AF8" s="73" t="s">
        <v>197</v>
      </c>
      <c r="AG8" s="73">
        <v>2</v>
      </c>
      <c r="AH8" s="73">
        <v>2</v>
      </c>
      <c r="AI8" s="73" t="s">
        <v>197</v>
      </c>
      <c r="AJ8" s="73" t="s">
        <v>197</v>
      </c>
      <c r="AK8" s="73">
        <v>2</v>
      </c>
      <c r="AL8" s="73">
        <v>2</v>
      </c>
      <c r="AM8" s="73">
        <v>2</v>
      </c>
      <c r="AN8" s="73" t="s">
        <v>197</v>
      </c>
      <c r="AO8" s="73">
        <f t="shared" ref="AO8:AO27" si="1">SUM(Y8:AN8)</f>
        <v>20.5</v>
      </c>
      <c r="AP8" s="73">
        <f>ROUND(AO8*0.75,2)</f>
        <v>15.38</v>
      </c>
      <c r="AQ8" s="8">
        <v>41</v>
      </c>
      <c r="AR8" s="37" t="s">
        <v>117</v>
      </c>
      <c r="AS8" s="40" t="s">
        <v>136</v>
      </c>
      <c r="AT8" s="73">
        <v>3.5</v>
      </c>
      <c r="AU8" s="72">
        <v>1</v>
      </c>
      <c r="AV8" s="73">
        <v>0</v>
      </c>
      <c r="AW8" s="73" t="s">
        <v>197</v>
      </c>
      <c r="AX8" s="73">
        <v>2.5</v>
      </c>
      <c r="AY8" s="73">
        <v>0</v>
      </c>
      <c r="AZ8" s="73">
        <v>1</v>
      </c>
      <c r="BA8" s="73" t="s">
        <v>197</v>
      </c>
      <c r="BB8" s="73">
        <v>0</v>
      </c>
      <c r="BC8" s="73">
        <v>3</v>
      </c>
      <c r="BD8" s="73" t="s">
        <v>197</v>
      </c>
      <c r="BE8" s="73" t="s">
        <v>197</v>
      </c>
      <c r="BF8" s="73">
        <v>2</v>
      </c>
      <c r="BG8" s="73">
        <v>3.5</v>
      </c>
      <c r="BH8" s="73">
        <v>0</v>
      </c>
      <c r="BI8" s="73" t="s">
        <v>197</v>
      </c>
      <c r="BJ8" s="73">
        <f>SUM(AT8:BI8)</f>
        <v>16.5</v>
      </c>
      <c r="BK8" s="73">
        <f>ROUND(BJ8*0.75,2)</f>
        <v>12.38</v>
      </c>
      <c r="BL8" s="8">
        <v>61</v>
      </c>
      <c r="BM8" s="37" t="s">
        <v>156</v>
      </c>
      <c r="BN8" s="37" t="s">
        <v>173</v>
      </c>
      <c r="BO8" s="73">
        <v>4</v>
      </c>
      <c r="BP8" s="72">
        <v>1.5</v>
      </c>
      <c r="BQ8" s="73">
        <v>0</v>
      </c>
      <c r="BR8" s="73" t="s">
        <v>197</v>
      </c>
      <c r="BS8" s="73">
        <v>4</v>
      </c>
      <c r="BT8" s="73">
        <v>0</v>
      </c>
      <c r="BU8" s="73">
        <v>3</v>
      </c>
      <c r="BV8" s="73" t="s">
        <v>197</v>
      </c>
      <c r="BW8" s="73">
        <v>0</v>
      </c>
      <c r="BX8" s="73">
        <v>1</v>
      </c>
      <c r="BY8" s="73" t="s">
        <v>197</v>
      </c>
      <c r="BZ8" s="73" t="s">
        <v>197</v>
      </c>
      <c r="CA8" s="73">
        <v>2</v>
      </c>
      <c r="CB8" s="73">
        <v>0</v>
      </c>
      <c r="CC8" s="73">
        <v>2</v>
      </c>
      <c r="CD8" s="73"/>
      <c r="CE8" s="73">
        <f t="shared" ref="CE8:CE27" si="2">SUM(BO8:CD8)</f>
        <v>17.5</v>
      </c>
      <c r="CF8" s="73">
        <f>ROUND(CE8*0.75,2)</f>
        <v>13.13</v>
      </c>
    </row>
    <row r="9" spans="1:84" s="38" customFormat="1" ht="18.75" customHeight="1" x14ac:dyDescent="0.3">
      <c r="A9" s="8">
        <v>2</v>
      </c>
      <c r="B9" s="37" t="s">
        <v>63</v>
      </c>
      <c r="C9" s="40" t="s">
        <v>80</v>
      </c>
      <c r="D9" s="73">
        <v>4</v>
      </c>
      <c r="E9" s="72">
        <v>2.5</v>
      </c>
      <c r="F9" s="11">
        <v>0</v>
      </c>
      <c r="G9" s="73" t="s">
        <v>197</v>
      </c>
      <c r="H9" s="11">
        <v>3.5</v>
      </c>
      <c r="I9" s="11">
        <v>1</v>
      </c>
      <c r="J9" s="11">
        <v>2</v>
      </c>
      <c r="K9" s="73" t="s">
        <v>197</v>
      </c>
      <c r="L9" s="11">
        <v>0</v>
      </c>
      <c r="M9" s="11">
        <v>2</v>
      </c>
      <c r="N9" s="73" t="s">
        <v>197</v>
      </c>
      <c r="O9" s="73" t="s">
        <v>197</v>
      </c>
      <c r="P9" s="11">
        <v>1.5</v>
      </c>
      <c r="Q9" s="11">
        <v>0</v>
      </c>
      <c r="R9" s="11">
        <v>0</v>
      </c>
      <c r="S9" s="11"/>
      <c r="T9" s="11">
        <f t="shared" si="0"/>
        <v>16.5</v>
      </c>
      <c r="U9" s="11">
        <f t="shared" ref="U9:U27" si="3">ROUND(T9*0.75,2)</f>
        <v>12.38</v>
      </c>
      <c r="V9" s="8">
        <v>22</v>
      </c>
      <c r="W9" s="37" t="s">
        <v>99</v>
      </c>
      <c r="X9" s="40" t="s">
        <v>119</v>
      </c>
      <c r="Y9" s="73">
        <v>4</v>
      </c>
      <c r="Z9" s="72">
        <v>3</v>
      </c>
      <c r="AA9" s="73">
        <v>1</v>
      </c>
      <c r="AB9" s="73" t="s">
        <v>197</v>
      </c>
      <c r="AC9" s="73">
        <v>5</v>
      </c>
      <c r="AD9" s="73">
        <v>0</v>
      </c>
      <c r="AE9" s="73">
        <v>3</v>
      </c>
      <c r="AF9" s="73" t="s">
        <v>197</v>
      </c>
      <c r="AG9" s="73">
        <v>0</v>
      </c>
      <c r="AH9" s="73">
        <v>3</v>
      </c>
      <c r="AI9" s="73" t="s">
        <v>197</v>
      </c>
      <c r="AJ9" s="73" t="s">
        <v>197</v>
      </c>
      <c r="AK9" s="73">
        <v>1</v>
      </c>
      <c r="AL9" s="73">
        <v>3.5</v>
      </c>
      <c r="AM9" s="73">
        <v>3</v>
      </c>
      <c r="AN9" s="73" t="s">
        <v>197</v>
      </c>
      <c r="AO9" s="73">
        <f t="shared" si="1"/>
        <v>26.5</v>
      </c>
      <c r="AP9" s="73">
        <f t="shared" ref="AP9:AP27" si="4">ROUND(AO9*0.75,2)</f>
        <v>19.88</v>
      </c>
      <c r="AQ9" s="8">
        <v>42</v>
      </c>
      <c r="AR9" s="37" t="s">
        <v>137</v>
      </c>
      <c r="AS9" s="40" t="s">
        <v>203</v>
      </c>
      <c r="AT9" s="77" t="s">
        <v>189</v>
      </c>
      <c r="AU9" s="72" t="s">
        <v>189</v>
      </c>
      <c r="AV9" s="73" t="s">
        <v>189</v>
      </c>
      <c r="AW9" s="73" t="s">
        <v>197</v>
      </c>
      <c r="AX9" s="73" t="s">
        <v>189</v>
      </c>
      <c r="AY9" s="73" t="s">
        <v>189</v>
      </c>
      <c r="AZ9" s="73" t="s">
        <v>189</v>
      </c>
      <c r="BA9" s="73" t="s">
        <v>197</v>
      </c>
      <c r="BB9" s="73" t="s">
        <v>189</v>
      </c>
      <c r="BC9" s="73" t="s">
        <v>189</v>
      </c>
      <c r="BD9" s="73" t="s">
        <v>197</v>
      </c>
      <c r="BE9" s="73" t="s">
        <v>197</v>
      </c>
      <c r="BF9" s="73" t="s">
        <v>189</v>
      </c>
      <c r="BG9" s="73" t="s">
        <v>189</v>
      </c>
      <c r="BH9" s="73" t="s">
        <v>189</v>
      </c>
      <c r="BI9" s="73" t="s">
        <v>197</v>
      </c>
      <c r="BJ9" s="73">
        <f t="shared" ref="BJ9:BJ27" si="5">SUM(AT9:BI9)</f>
        <v>0</v>
      </c>
      <c r="BK9" s="73">
        <f t="shared" ref="BK9:BK27" si="6">ROUND(BJ9*0.75,2)</f>
        <v>0</v>
      </c>
      <c r="BL9" s="8">
        <v>62</v>
      </c>
      <c r="BM9" s="37" t="s">
        <v>174</v>
      </c>
      <c r="BN9" s="37" t="s">
        <v>180</v>
      </c>
      <c r="BO9" s="73">
        <v>1</v>
      </c>
      <c r="BP9" s="72">
        <v>1</v>
      </c>
      <c r="BQ9" s="73">
        <v>0</v>
      </c>
      <c r="BR9" s="73" t="s">
        <v>197</v>
      </c>
      <c r="BS9" s="73">
        <v>2</v>
      </c>
      <c r="BT9" s="73">
        <v>0</v>
      </c>
      <c r="BU9" s="73">
        <v>1</v>
      </c>
      <c r="BV9" s="73" t="s">
        <v>197</v>
      </c>
      <c r="BW9" s="73">
        <v>0</v>
      </c>
      <c r="BX9" s="73">
        <v>2</v>
      </c>
      <c r="BY9" s="73" t="s">
        <v>197</v>
      </c>
      <c r="BZ9" s="73" t="s">
        <v>197</v>
      </c>
      <c r="CA9" s="73">
        <v>2</v>
      </c>
      <c r="CB9" s="73">
        <v>0</v>
      </c>
      <c r="CC9" s="73">
        <v>0</v>
      </c>
      <c r="CD9" s="73"/>
      <c r="CE9" s="73">
        <f t="shared" si="2"/>
        <v>9</v>
      </c>
      <c r="CF9" s="73">
        <f t="shared" ref="CF9:CF14" si="7">ROUND(CE9*0.75,2)</f>
        <v>6.75</v>
      </c>
    </row>
    <row r="10" spans="1:84" s="38" customFormat="1" ht="18.75" customHeight="1" x14ac:dyDescent="0.3">
      <c r="A10" s="8">
        <v>3</v>
      </c>
      <c r="B10" s="37" t="s">
        <v>64</v>
      </c>
      <c r="C10" s="40" t="s">
        <v>81</v>
      </c>
      <c r="D10" s="73">
        <v>2</v>
      </c>
      <c r="E10" s="72">
        <v>1.5</v>
      </c>
      <c r="F10" s="11">
        <v>0</v>
      </c>
      <c r="G10" s="73" t="s">
        <v>197</v>
      </c>
      <c r="H10" s="11">
        <v>2</v>
      </c>
      <c r="I10" s="11">
        <v>0</v>
      </c>
      <c r="J10" s="11">
        <v>2</v>
      </c>
      <c r="K10" s="73" t="s">
        <v>197</v>
      </c>
      <c r="L10" s="11">
        <v>0</v>
      </c>
      <c r="M10" s="11">
        <v>2.5</v>
      </c>
      <c r="N10" s="73" t="s">
        <v>197</v>
      </c>
      <c r="O10" s="73" t="s">
        <v>197</v>
      </c>
      <c r="P10" s="11">
        <v>2</v>
      </c>
      <c r="Q10" s="11">
        <v>0</v>
      </c>
      <c r="R10" s="11">
        <v>0</v>
      </c>
      <c r="S10" s="11"/>
      <c r="T10" s="11">
        <f t="shared" si="0"/>
        <v>12</v>
      </c>
      <c r="U10" s="11">
        <f t="shared" si="3"/>
        <v>9</v>
      </c>
      <c r="V10" s="8">
        <v>23</v>
      </c>
      <c r="W10" s="37" t="s">
        <v>100</v>
      </c>
      <c r="X10" s="40" t="s">
        <v>120</v>
      </c>
      <c r="Y10" s="73">
        <v>1</v>
      </c>
      <c r="Z10" s="72">
        <v>2.5</v>
      </c>
      <c r="AA10" s="73">
        <v>0</v>
      </c>
      <c r="AB10" s="73" t="s">
        <v>197</v>
      </c>
      <c r="AC10" s="73">
        <v>2.5</v>
      </c>
      <c r="AD10" s="73">
        <v>0</v>
      </c>
      <c r="AE10" s="73">
        <v>2</v>
      </c>
      <c r="AF10" s="73" t="s">
        <v>197</v>
      </c>
      <c r="AG10" s="73">
        <v>0</v>
      </c>
      <c r="AH10" s="73">
        <v>0</v>
      </c>
      <c r="AI10" s="73" t="s">
        <v>197</v>
      </c>
      <c r="AJ10" s="73" t="s">
        <v>197</v>
      </c>
      <c r="AK10" s="73">
        <v>1.5</v>
      </c>
      <c r="AL10" s="73">
        <v>0</v>
      </c>
      <c r="AM10" s="73">
        <v>0</v>
      </c>
      <c r="AN10" s="73" t="s">
        <v>197</v>
      </c>
      <c r="AO10" s="73">
        <f t="shared" si="1"/>
        <v>9.5</v>
      </c>
      <c r="AP10" s="73">
        <f t="shared" si="4"/>
        <v>7.13</v>
      </c>
      <c r="AQ10" s="8">
        <v>43</v>
      </c>
      <c r="AR10" s="37" t="s">
        <v>138</v>
      </c>
      <c r="AS10" s="40" t="s">
        <v>157</v>
      </c>
      <c r="AT10" s="73">
        <v>3</v>
      </c>
      <c r="AU10" s="72">
        <v>3</v>
      </c>
      <c r="AV10" s="73">
        <v>3</v>
      </c>
      <c r="AW10" s="73" t="s">
        <v>197</v>
      </c>
      <c r="AX10" s="73">
        <v>5</v>
      </c>
      <c r="AY10" s="73">
        <v>0.5</v>
      </c>
      <c r="AZ10" s="73">
        <v>3</v>
      </c>
      <c r="BA10" s="73" t="s">
        <v>197</v>
      </c>
      <c r="BB10" s="73">
        <v>4</v>
      </c>
      <c r="BC10" s="73">
        <v>5</v>
      </c>
      <c r="BD10" s="73" t="s">
        <v>197</v>
      </c>
      <c r="BE10" s="73" t="s">
        <v>197</v>
      </c>
      <c r="BF10" s="73">
        <v>2</v>
      </c>
      <c r="BG10" s="73">
        <v>4</v>
      </c>
      <c r="BH10" s="73">
        <v>4</v>
      </c>
      <c r="BI10" s="73" t="s">
        <v>197</v>
      </c>
      <c r="BJ10" s="73">
        <f t="shared" si="5"/>
        <v>36.5</v>
      </c>
      <c r="BK10" s="73">
        <f t="shared" si="6"/>
        <v>27.38</v>
      </c>
      <c r="BL10" s="8">
        <v>63</v>
      </c>
      <c r="BM10" s="37" t="s">
        <v>175</v>
      </c>
      <c r="BN10" s="37" t="s">
        <v>181</v>
      </c>
      <c r="BO10" s="73">
        <v>1</v>
      </c>
      <c r="BP10" s="72">
        <v>0</v>
      </c>
      <c r="BQ10" s="73">
        <v>0</v>
      </c>
      <c r="BR10" s="73" t="s">
        <v>197</v>
      </c>
      <c r="BS10" s="73">
        <v>2</v>
      </c>
      <c r="BT10" s="73">
        <v>0</v>
      </c>
      <c r="BU10" s="73">
        <v>1.5</v>
      </c>
      <c r="BV10" s="73" t="s">
        <v>197</v>
      </c>
      <c r="BW10" s="73">
        <v>0</v>
      </c>
      <c r="BX10" s="73">
        <v>0</v>
      </c>
      <c r="BY10" s="73" t="s">
        <v>197</v>
      </c>
      <c r="BZ10" s="73" t="s">
        <v>197</v>
      </c>
      <c r="CA10" s="73">
        <v>1</v>
      </c>
      <c r="CB10" s="73">
        <v>0</v>
      </c>
      <c r="CC10" s="73">
        <v>0</v>
      </c>
      <c r="CD10" s="73"/>
      <c r="CE10" s="73">
        <f t="shared" si="2"/>
        <v>5.5</v>
      </c>
      <c r="CF10" s="73">
        <f t="shared" si="7"/>
        <v>4.13</v>
      </c>
    </row>
    <row r="11" spans="1:84" s="38" customFormat="1" ht="18.75" customHeight="1" x14ac:dyDescent="0.3">
      <c r="A11" s="8">
        <v>4</v>
      </c>
      <c r="B11" s="37" t="s">
        <v>65</v>
      </c>
      <c r="C11" s="40" t="s">
        <v>190</v>
      </c>
      <c r="D11" s="73" t="s">
        <v>187</v>
      </c>
      <c r="E11" s="72" t="s">
        <v>187</v>
      </c>
      <c r="F11" s="11" t="s">
        <v>187</v>
      </c>
      <c r="G11" s="11" t="s">
        <v>187</v>
      </c>
      <c r="H11" s="11" t="s">
        <v>187</v>
      </c>
      <c r="I11" s="11" t="s">
        <v>187</v>
      </c>
      <c r="J11" s="11" t="s">
        <v>187</v>
      </c>
      <c r="K11" s="11" t="s">
        <v>187</v>
      </c>
      <c r="L11" s="11" t="s">
        <v>187</v>
      </c>
      <c r="M11" s="11" t="s">
        <v>187</v>
      </c>
      <c r="N11" s="11" t="s">
        <v>187</v>
      </c>
      <c r="O11" s="11" t="s">
        <v>187</v>
      </c>
      <c r="P11" s="11" t="s">
        <v>187</v>
      </c>
      <c r="Q11" s="11" t="s">
        <v>187</v>
      </c>
      <c r="R11" s="11" t="s">
        <v>187</v>
      </c>
      <c r="S11" s="11" t="s">
        <v>187</v>
      </c>
      <c r="T11" s="11">
        <f t="shared" si="0"/>
        <v>0</v>
      </c>
      <c r="U11" s="11">
        <f t="shared" si="3"/>
        <v>0</v>
      </c>
      <c r="V11" s="8">
        <v>24</v>
      </c>
      <c r="W11" s="37" t="s">
        <v>101</v>
      </c>
      <c r="X11" s="40" t="s">
        <v>121</v>
      </c>
      <c r="Y11" s="73">
        <v>1</v>
      </c>
      <c r="Z11" s="72">
        <v>0</v>
      </c>
      <c r="AA11" s="73">
        <v>0</v>
      </c>
      <c r="AB11" s="73" t="s">
        <v>197</v>
      </c>
      <c r="AC11" s="73">
        <v>0</v>
      </c>
      <c r="AD11" s="73">
        <v>0</v>
      </c>
      <c r="AE11" s="73">
        <v>0</v>
      </c>
      <c r="AF11" s="73" t="s">
        <v>197</v>
      </c>
      <c r="AG11" s="73">
        <v>0</v>
      </c>
      <c r="AH11" s="73">
        <v>0</v>
      </c>
      <c r="AI11" s="73" t="s">
        <v>197</v>
      </c>
      <c r="AJ11" s="73" t="s">
        <v>197</v>
      </c>
      <c r="AK11" s="73">
        <v>0</v>
      </c>
      <c r="AL11" s="73">
        <v>0</v>
      </c>
      <c r="AM11" s="73">
        <v>0</v>
      </c>
      <c r="AN11" s="73" t="s">
        <v>197</v>
      </c>
      <c r="AO11" s="73">
        <f t="shared" si="1"/>
        <v>1</v>
      </c>
      <c r="AP11" s="73">
        <f t="shared" si="4"/>
        <v>0.75</v>
      </c>
      <c r="AQ11" s="8">
        <v>44</v>
      </c>
      <c r="AR11" s="37" t="s">
        <v>139</v>
      </c>
      <c r="AS11" s="40" t="s">
        <v>158</v>
      </c>
      <c r="AT11" s="73">
        <v>3</v>
      </c>
      <c r="AU11" s="72">
        <v>0</v>
      </c>
      <c r="AV11" s="73">
        <v>0</v>
      </c>
      <c r="AW11" s="73" t="s">
        <v>197</v>
      </c>
      <c r="AX11" s="73">
        <v>5</v>
      </c>
      <c r="AY11" s="73">
        <v>0</v>
      </c>
      <c r="AZ11" s="73">
        <v>2</v>
      </c>
      <c r="BA11" s="73" t="s">
        <v>197</v>
      </c>
      <c r="BB11" s="73">
        <v>0</v>
      </c>
      <c r="BC11" s="73">
        <v>0</v>
      </c>
      <c r="BD11" s="73" t="s">
        <v>197</v>
      </c>
      <c r="BE11" s="73" t="s">
        <v>197</v>
      </c>
      <c r="BF11" s="73">
        <v>1</v>
      </c>
      <c r="BG11" s="73">
        <v>0</v>
      </c>
      <c r="BH11" s="73">
        <v>2.5</v>
      </c>
      <c r="BI11" s="73" t="s">
        <v>197</v>
      </c>
      <c r="BJ11" s="73">
        <f t="shared" si="5"/>
        <v>13.5</v>
      </c>
      <c r="BK11" s="73">
        <f t="shared" si="6"/>
        <v>10.130000000000001</v>
      </c>
      <c r="BL11" s="8">
        <v>64</v>
      </c>
      <c r="BM11" s="37" t="s">
        <v>176</v>
      </c>
      <c r="BN11" s="37" t="s">
        <v>182</v>
      </c>
      <c r="BO11" s="73">
        <v>3</v>
      </c>
      <c r="BP11" s="72">
        <v>1.5</v>
      </c>
      <c r="BQ11" s="73">
        <v>0</v>
      </c>
      <c r="BR11" s="73" t="s">
        <v>197</v>
      </c>
      <c r="BS11" s="73">
        <v>3</v>
      </c>
      <c r="BT11" s="73">
        <v>0</v>
      </c>
      <c r="BU11" s="73">
        <v>1</v>
      </c>
      <c r="BV11" s="73" t="s">
        <v>197</v>
      </c>
      <c r="BW11" s="73">
        <v>3</v>
      </c>
      <c r="BX11" s="73">
        <v>0</v>
      </c>
      <c r="BY11" s="73" t="s">
        <v>197</v>
      </c>
      <c r="BZ11" s="73" t="s">
        <v>197</v>
      </c>
      <c r="CA11" s="73">
        <v>1</v>
      </c>
      <c r="CB11" s="73">
        <v>0</v>
      </c>
      <c r="CC11" s="73">
        <v>0</v>
      </c>
      <c r="CD11" s="73"/>
      <c r="CE11" s="73">
        <f t="shared" si="2"/>
        <v>12.5</v>
      </c>
      <c r="CF11" s="73">
        <f t="shared" si="7"/>
        <v>9.3800000000000008</v>
      </c>
    </row>
    <row r="12" spans="1:84" s="38" customFormat="1" ht="18.75" customHeight="1" x14ac:dyDescent="0.3">
      <c r="A12" s="8">
        <v>5</v>
      </c>
      <c r="B12" s="37" t="s">
        <v>66</v>
      </c>
      <c r="C12" s="40" t="s">
        <v>82</v>
      </c>
      <c r="D12" s="73">
        <v>0</v>
      </c>
      <c r="E12" s="72">
        <v>0</v>
      </c>
      <c r="F12" s="11">
        <v>0</v>
      </c>
      <c r="G12" s="73" t="s">
        <v>197</v>
      </c>
      <c r="H12" s="11">
        <v>1</v>
      </c>
      <c r="I12" s="11">
        <v>0</v>
      </c>
      <c r="J12" s="11">
        <v>0</v>
      </c>
      <c r="K12" s="73" t="s">
        <v>197</v>
      </c>
      <c r="L12" s="11">
        <v>0</v>
      </c>
      <c r="M12" s="11">
        <v>0</v>
      </c>
      <c r="N12" s="73" t="s">
        <v>197</v>
      </c>
      <c r="O12" s="73" t="s">
        <v>197</v>
      </c>
      <c r="P12" s="11">
        <v>1</v>
      </c>
      <c r="Q12" s="11">
        <v>0</v>
      </c>
      <c r="R12" s="11">
        <v>0</v>
      </c>
      <c r="S12" s="11"/>
      <c r="T12" s="11">
        <f t="shared" si="0"/>
        <v>2</v>
      </c>
      <c r="U12" s="11">
        <f t="shared" si="3"/>
        <v>1.5</v>
      </c>
      <c r="V12" s="8">
        <v>25</v>
      </c>
      <c r="W12" s="37" t="s">
        <v>102</v>
      </c>
      <c r="X12" s="40" t="s">
        <v>122</v>
      </c>
      <c r="Y12" s="73">
        <v>3</v>
      </c>
      <c r="Z12" s="72">
        <v>2</v>
      </c>
      <c r="AA12" s="73">
        <v>0</v>
      </c>
      <c r="AB12" s="73" t="s">
        <v>197</v>
      </c>
      <c r="AC12" s="73">
        <v>3</v>
      </c>
      <c r="AD12" s="73">
        <v>2.5</v>
      </c>
      <c r="AE12" s="73">
        <v>0</v>
      </c>
      <c r="AF12" s="73" t="s">
        <v>197</v>
      </c>
      <c r="AG12" s="73">
        <v>0</v>
      </c>
      <c r="AH12" s="73">
        <v>3</v>
      </c>
      <c r="AI12" s="73" t="s">
        <v>197</v>
      </c>
      <c r="AJ12" s="73" t="s">
        <v>197</v>
      </c>
      <c r="AK12" s="73">
        <v>0</v>
      </c>
      <c r="AL12" s="73">
        <v>0</v>
      </c>
      <c r="AM12" s="73">
        <v>0</v>
      </c>
      <c r="AN12" s="73" t="s">
        <v>197</v>
      </c>
      <c r="AO12" s="73">
        <f t="shared" si="1"/>
        <v>13.5</v>
      </c>
      <c r="AP12" s="73">
        <f t="shared" si="4"/>
        <v>10.130000000000001</v>
      </c>
      <c r="AQ12" s="8">
        <v>45</v>
      </c>
      <c r="AR12" s="37" t="s">
        <v>140</v>
      </c>
      <c r="AS12" s="40" t="s">
        <v>159</v>
      </c>
      <c r="AT12" s="73">
        <v>2</v>
      </c>
      <c r="AU12" s="72">
        <v>3</v>
      </c>
      <c r="AV12" s="73">
        <v>0</v>
      </c>
      <c r="AW12" s="73" t="s">
        <v>197</v>
      </c>
      <c r="AX12" s="73">
        <v>2.5</v>
      </c>
      <c r="AY12" s="73">
        <v>0</v>
      </c>
      <c r="AZ12" s="73">
        <v>1.5</v>
      </c>
      <c r="BA12" s="73" t="s">
        <v>197</v>
      </c>
      <c r="BB12" s="73">
        <v>0.5</v>
      </c>
      <c r="BC12" s="73">
        <v>2</v>
      </c>
      <c r="BD12" s="73" t="s">
        <v>197</v>
      </c>
      <c r="BE12" s="73" t="s">
        <v>197</v>
      </c>
      <c r="BF12" s="73">
        <v>2</v>
      </c>
      <c r="BG12" s="73">
        <v>0</v>
      </c>
      <c r="BH12" s="73">
        <v>0</v>
      </c>
      <c r="BI12" s="73" t="s">
        <v>197</v>
      </c>
      <c r="BJ12" s="73">
        <f t="shared" si="5"/>
        <v>13.5</v>
      </c>
      <c r="BK12" s="73">
        <f t="shared" si="6"/>
        <v>10.130000000000001</v>
      </c>
      <c r="BL12" s="8">
        <v>65</v>
      </c>
      <c r="BM12" s="37" t="s">
        <v>177</v>
      </c>
      <c r="BN12" s="37" t="s">
        <v>183</v>
      </c>
      <c r="BO12" s="73">
        <v>1.5</v>
      </c>
      <c r="BP12" s="72">
        <v>2</v>
      </c>
      <c r="BQ12" s="73">
        <v>1</v>
      </c>
      <c r="BR12" s="73" t="s">
        <v>197</v>
      </c>
      <c r="BS12" s="73">
        <v>2</v>
      </c>
      <c r="BT12" s="73">
        <v>1</v>
      </c>
      <c r="BU12" s="73">
        <v>1</v>
      </c>
      <c r="BV12" s="73" t="s">
        <v>197</v>
      </c>
      <c r="BW12" s="73">
        <v>0</v>
      </c>
      <c r="BX12" s="73">
        <v>4</v>
      </c>
      <c r="BY12" s="73" t="s">
        <v>197</v>
      </c>
      <c r="BZ12" s="73" t="s">
        <v>197</v>
      </c>
      <c r="CA12" s="73">
        <v>2</v>
      </c>
      <c r="CB12" s="73">
        <v>0</v>
      </c>
      <c r="CC12" s="73">
        <v>0</v>
      </c>
      <c r="CD12" s="73"/>
      <c r="CE12" s="73">
        <f t="shared" si="2"/>
        <v>14.5</v>
      </c>
      <c r="CF12" s="73">
        <f t="shared" si="7"/>
        <v>10.88</v>
      </c>
    </row>
    <row r="13" spans="1:84" s="38" customFormat="1" ht="18.75" customHeight="1" x14ac:dyDescent="0.3">
      <c r="A13" s="8">
        <v>6</v>
      </c>
      <c r="B13" s="37" t="s">
        <v>67</v>
      </c>
      <c r="C13" s="40" t="s">
        <v>83</v>
      </c>
      <c r="D13" s="73">
        <v>0</v>
      </c>
      <c r="E13" s="72">
        <v>0</v>
      </c>
      <c r="F13" s="11">
        <v>0</v>
      </c>
      <c r="G13" s="73" t="s">
        <v>197</v>
      </c>
      <c r="H13" s="11">
        <v>0</v>
      </c>
      <c r="I13" s="11">
        <v>1</v>
      </c>
      <c r="J13" s="11">
        <v>0</v>
      </c>
      <c r="K13" s="73" t="s">
        <v>197</v>
      </c>
      <c r="L13" s="11">
        <v>0</v>
      </c>
      <c r="M13" s="11">
        <v>0</v>
      </c>
      <c r="N13" s="73" t="s">
        <v>197</v>
      </c>
      <c r="O13" s="73" t="s">
        <v>197</v>
      </c>
      <c r="P13" s="11">
        <v>1</v>
      </c>
      <c r="Q13" s="11">
        <v>0</v>
      </c>
      <c r="R13" s="11">
        <v>0</v>
      </c>
      <c r="S13" s="11"/>
      <c r="T13" s="11">
        <f t="shared" si="0"/>
        <v>2</v>
      </c>
      <c r="U13" s="11">
        <f t="shared" si="3"/>
        <v>1.5</v>
      </c>
      <c r="V13" s="8">
        <v>26</v>
      </c>
      <c r="W13" s="78" t="s">
        <v>197</v>
      </c>
      <c r="X13" s="78" t="s">
        <v>197</v>
      </c>
      <c r="Y13" s="73" t="s">
        <v>197</v>
      </c>
      <c r="Z13" s="72" t="s">
        <v>197</v>
      </c>
      <c r="AA13" s="73" t="s">
        <v>197</v>
      </c>
      <c r="AB13" s="73" t="s">
        <v>197</v>
      </c>
      <c r="AC13" s="73" t="s">
        <v>197</v>
      </c>
      <c r="AD13" s="73" t="s">
        <v>197</v>
      </c>
      <c r="AE13" s="73" t="s">
        <v>197</v>
      </c>
      <c r="AF13" s="73" t="s">
        <v>197</v>
      </c>
      <c r="AG13" s="73" t="s">
        <v>197</v>
      </c>
      <c r="AH13" s="73" t="s">
        <v>197</v>
      </c>
      <c r="AI13" s="73" t="s">
        <v>197</v>
      </c>
      <c r="AJ13" s="73" t="s">
        <v>197</v>
      </c>
      <c r="AK13" s="73" t="s">
        <v>197</v>
      </c>
      <c r="AL13" s="73" t="s">
        <v>197</v>
      </c>
      <c r="AM13" s="73" t="s">
        <v>197</v>
      </c>
      <c r="AN13" s="73" t="s">
        <v>197</v>
      </c>
      <c r="AO13" s="73" t="s">
        <v>197</v>
      </c>
      <c r="AP13" s="73" t="s">
        <v>197</v>
      </c>
      <c r="AQ13" s="8">
        <v>46</v>
      </c>
      <c r="AR13" s="37" t="s">
        <v>141</v>
      </c>
      <c r="AS13" s="40" t="s">
        <v>160</v>
      </c>
      <c r="AT13" s="73" t="s">
        <v>189</v>
      </c>
      <c r="AU13" s="72" t="s">
        <v>189</v>
      </c>
      <c r="AV13" s="73" t="s">
        <v>189</v>
      </c>
      <c r="AW13" s="73" t="s">
        <v>197</v>
      </c>
      <c r="AX13" s="73">
        <v>0</v>
      </c>
      <c r="AY13" s="73">
        <v>0</v>
      </c>
      <c r="AZ13" s="73">
        <v>0</v>
      </c>
      <c r="BA13" s="73" t="s">
        <v>197</v>
      </c>
      <c r="BB13" s="73">
        <v>0</v>
      </c>
      <c r="BC13" s="73">
        <v>0</v>
      </c>
      <c r="BD13" s="73" t="s">
        <v>197</v>
      </c>
      <c r="BE13" s="73" t="s">
        <v>197</v>
      </c>
      <c r="BF13" s="73">
        <v>0</v>
      </c>
      <c r="BG13" s="73">
        <v>0</v>
      </c>
      <c r="BH13" s="73">
        <v>0</v>
      </c>
      <c r="BI13" s="73" t="s">
        <v>197</v>
      </c>
      <c r="BJ13" s="73">
        <f t="shared" si="5"/>
        <v>0</v>
      </c>
      <c r="BK13" s="73">
        <f t="shared" si="6"/>
        <v>0</v>
      </c>
      <c r="BL13" s="8">
        <v>66</v>
      </c>
      <c r="BM13" s="37" t="s">
        <v>178</v>
      </c>
      <c r="BN13" s="37" t="s">
        <v>184</v>
      </c>
      <c r="BO13" s="73">
        <v>2</v>
      </c>
      <c r="BP13" s="72">
        <v>1.5</v>
      </c>
      <c r="BQ13" s="73">
        <v>0</v>
      </c>
      <c r="BR13" s="73" t="s">
        <v>197</v>
      </c>
      <c r="BS13" s="73">
        <v>4</v>
      </c>
      <c r="BT13" s="73">
        <v>0</v>
      </c>
      <c r="BU13" s="73">
        <v>3</v>
      </c>
      <c r="BV13" s="73" t="s">
        <v>197</v>
      </c>
      <c r="BW13" s="73">
        <v>0</v>
      </c>
      <c r="BX13" s="73">
        <v>0</v>
      </c>
      <c r="BY13" s="73" t="s">
        <v>197</v>
      </c>
      <c r="BZ13" s="73" t="s">
        <v>197</v>
      </c>
      <c r="CA13" s="73">
        <v>1</v>
      </c>
      <c r="CB13" s="73">
        <v>0</v>
      </c>
      <c r="CC13" s="73">
        <v>0</v>
      </c>
      <c r="CD13" s="73"/>
      <c r="CE13" s="73">
        <f t="shared" si="2"/>
        <v>11.5</v>
      </c>
      <c r="CF13" s="73">
        <f t="shared" si="7"/>
        <v>8.6300000000000008</v>
      </c>
    </row>
    <row r="14" spans="1:84" s="38" customFormat="1" ht="18.75" customHeight="1" x14ac:dyDescent="0.3">
      <c r="A14" s="8">
        <v>7</v>
      </c>
      <c r="B14" s="37" t="s">
        <v>68</v>
      </c>
      <c r="C14" s="40" t="s">
        <v>192</v>
      </c>
      <c r="D14" s="73" t="s">
        <v>187</v>
      </c>
      <c r="E14" s="72" t="s">
        <v>187</v>
      </c>
      <c r="F14" s="11" t="s">
        <v>187</v>
      </c>
      <c r="G14" s="11" t="s">
        <v>187</v>
      </c>
      <c r="H14" s="11" t="s">
        <v>187</v>
      </c>
      <c r="I14" s="11" t="s">
        <v>187</v>
      </c>
      <c r="J14" s="11" t="s">
        <v>187</v>
      </c>
      <c r="K14" s="11" t="s">
        <v>187</v>
      </c>
      <c r="L14" s="11" t="s">
        <v>187</v>
      </c>
      <c r="M14" s="11" t="s">
        <v>187</v>
      </c>
      <c r="N14" s="11" t="s">
        <v>187</v>
      </c>
      <c r="O14" s="11" t="s">
        <v>187</v>
      </c>
      <c r="P14" s="11" t="s">
        <v>187</v>
      </c>
      <c r="Q14" s="11" t="s">
        <v>187</v>
      </c>
      <c r="R14" s="11" t="s">
        <v>187</v>
      </c>
      <c r="S14" s="11" t="s">
        <v>187</v>
      </c>
      <c r="T14" s="11">
        <f t="shared" si="0"/>
        <v>0</v>
      </c>
      <c r="U14" s="11">
        <f t="shared" si="3"/>
        <v>0</v>
      </c>
      <c r="V14" s="8">
        <v>27</v>
      </c>
      <c r="W14" s="37" t="s">
        <v>103</v>
      </c>
      <c r="X14" s="40" t="s">
        <v>123</v>
      </c>
      <c r="Y14" s="73">
        <v>0</v>
      </c>
      <c r="Z14" s="72">
        <v>0</v>
      </c>
      <c r="AA14" s="73">
        <v>0</v>
      </c>
      <c r="AB14" s="73" t="s">
        <v>197</v>
      </c>
      <c r="AC14" s="73">
        <v>0.5</v>
      </c>
      <c r="AD14" s="73">
        <v>0</v>
      </c>
      <c r="AE14" s="73">
        <v>0.5</v>
      </c>
      <c r="AF14" s="73" t="s">
        <v>197</v>
      </c>
      <c r="AG14" s="73">
        <v>0</v>
      </c>
      <c r="AH14" s="73">
        <v>0</v>
      </c>
      <c r="AI14" s="73" t="s">
        <v>197</v>
      </c>
      <c r="AJ14" s="73" t="s">
        <v>197</v>
      </c>
      <c r="AK14" s="73">
        <v>0</v>
      </c>
      <c r="AL14" s="73">
        <v>0</v>
      </c>
      <c r="AM14" s="73">
        <v>0.5</v>
      </c>
      <c r="AN14" s="73" t="s">
        <v>197</v>
      </c>
      <c r="AO14" s="73">
        <f t="shared" si="1"/>
        <v>1.5</v>
      </c>
      <c r="AP14" s="73">
        <f t="shared" si="4"/>
        <v>1.1299999999999999</v>
      </c>
      <c r="AQ14" s="8">
        <v>47</v>
      </c>
      <c r="AR14" s="37" t="s">
        <v>142</v>
      </c>
      <c r="AS14" s="40" t="s">
        <v>161</v>
      </c>
      <c r="AT14" s="73">
        <v>1</v>
      </c>
      <c r="AU14" s="72">
        <v>0.5</v>
      </c>
      <c r="AV14" s="73">
        <v>0</v>
      </c>
      <c r="AW14" s="73" t="s">
        <v>197</v>
      </c>
      <c r="AX14" s="73">
        <v>2</v>
      </c>
      <c r="AY14" s="73">
        <v>0</v>
      </c>
      <c r="AZ14" s="73">
        <v>1</v>
      </c>
      <c r="BA14" s="73" t="s">
        <v>197</v>
      </c>
      <c r="BB14" s="73">
        <v>0</v>
      </c>
      <c r="BC14" s="73">
        <v>0</v>
      </c>
      <c r="BD14" s="73" t="s">
        <v>197</v>
      </c>
      <c r="BE14" s="73" t="s">
        <v>197</v>
      </c>
      <c r="BF14" s="73">
        <v>1</v>
      </c>
      <c r="BG14" s="73">
        <v>0</v>
      </c>
      <c r="BH14" s="73">
        <v>0</v>
      </c>
      <c r="BI14" s="73" t="s">
        <v>197</v>
      </c>
      <c r="BJ14" s="73">
        <f t="shared" si="5"/>
        <v>5.5</v>
      </c>
      <c r="BK14" s="73">
        <f t="shared" si="6"/>
        <v>4.13</v>
      </c>
      <c r="BL14" s="8">
        <v>67</v>
      </c>
      <c r="BM14" s="37" t="s">
        <v>179</v>
      </c>
      <c r="BN14" s="37" t="s">
        <v>185</v>
      </c>
      <c r="BO14" s="73">
        <v>2.5</v>
      </c>
      <c r="BP14" s="72">
        <v>0</v>
      </c>
      <c r="BQ14" s="73">
        <v>0</v>
      </c>
      <c r="BR14" s="73" t="s">
        <v>197</v>
      </c>
      <c r="BS14" s="73">
        <v>2</v>
      </c>
      <c r="BT14" s="73">
        <v>0</v>
      </c>
      <c r="BU14" s="73">
        <v>3</v>
      </c>
      <c r="BV14" s="73" t="s">
        <v>197</v>
      </c>
      <c r="BW14" s="73">
        <v>0</v>
      </c>
      <c r="BX14" s="73">
        <v>0</v>
      </c>
      <c r="BY14" s="73" t="s">
        <v>197</v>
      </c>
      <c r="BZ14" s="73" t="s">
        <v>197</v>
      </c>
      <c r="CA14" s="73">
        <v>1</v>
      </c>
      <c r="CB14" s="73">
        <v>0</v>
      </c>
      <c r="CC14" s="73">
        <v>1</v>
      </c>
      <c r="CD14" s="73"/>
      <c r="CE14" s="73">
        <f t="shared" si="2"/>
        <v>9.5</v>
      </c>
      <c r="CF14" s="73">
        <f t="shared" si="7"/>
        <v>7.13</v>
      </c>
    </row>
    <row r="15" spans="1:84" s="38" customFormat="1" ht="18.75" customHeight="1" x14ac:dyDescent="0.3">
      <c r="A15" s="8">
        <v>8</v>
      </c>
      <c r="B15" s="37" t="s">
        <v>69</v>
      </c>
      <c r="C15" s="40" t="s">
        <v>84</v>
      </c>
      <c r="D15" s="73">
        <v>2</v>
      </c>
      <c r="E15" s="72">
        <v>2.5</v>
      </c>
      <c r="F15" s="11">
        <v>0</v>
      </c>
      <c r="G15" s="73" t="s">
        <v>197</v>
      </c>
      <c r="H15" s="11">
        <v>3</v>
      </c>
      <c r="I15" s="11">
        <v>0</v>
      </c>
      <c r="J15" s="11">
        <v>2</v>
      </c>
      <c r="K15" s="73" t="s">
        <v>197</v>
      </c>
      <c r="L15" s="11">
        <v>0</v>
      </c>
      <c r="M15" s="11">
        <v>3</v>
      </c>
      <c r="N15" s="73" t="s">
        <v>197</v>
      </c>
      <c r="O15" s="73" t="s">
        <v>197</v>
      </c>
      <c r="P15" s="11">
        <v>1</v>
      </c>
      <c r="Q15" s="11">
        <v>0</v>
      </c>
      <c r="R15" s="11">
        <v>0</v>
      </c>
      <c r="S15" s="11"/>
      <c r="T15" s="11">
        <f t="shared" si="0"/>
        <v>13.5</v>
      </c>
      <c r="U15" s="11">
        <f t="shared" si="3"/>
        <v>10.130000000000001</v>
      </c>
      <c r="V15" s="8">
        <v>28</v>
      </c>
      <c r="W15" s="37" t="s">
        <v>104</v>
      </c>
      <c r="X15" s="40" t="s">
        <v>124</v>
      </c>
      <c r="Y15" s="73">
        <v>0.5</v>
      </c>
      <c r="Z15" s="72">
        <v>1</v>
      </c>
      <c r="AA15" s="73">
        <v>0</v>
      </c>
      <c r="AB15" s="73" t="s">
        <v>197</v>
      </c>
      <c r="AC15" s="73">
        <v>0</v>
      </c>
      <c r="AD15" s="73">
        <v>0</v>
      </c>
      <c r="AE15" s="73">
        <v>0.5</v>
      </c>
      <c r="AF15" s="73" t="s">
        <v>197</v>
      </c>
      <c r="AG15" s="73">
        <v>0</v>
      </c>
      <c r="AH15" s="73">
        <v>0</v>
      </c>
      <c r="AI15" s="73" t="s">
        <v>197</v>
      </c>
      <c r="AJ15" s="73" t="s">
        <v>197</v>
      </c>
      <c r="AK15" s="73">
        <v>1</v>
      </c>
      <c r="AL15" s="73">
        <v>0</v>
      </c>
      <c r="AM15" s="73">
        <v>0</v>
      </c>
      <c r="AN15" s="73" t="s">
        <v>197</v>
      </c>
      <c r="AO15" s="73">
        <f t="shared" si="1"/>
        <v>3</v>
      </c>
      <c r="AP15" s="73">
        <f t="shared" si="4"/>
        <v>2.25</v>
      </c>
      <c r="AQ15" s="8">
        <v>48</v>
      </c>
      <c r="AR15" s="37" t="s">
        <v>143</v>
      </c>
      <c r="AS15" s="40" t="s">
        <v>162</v>
      </c>
      <c r="AT15" s="73">
        <v>3.5</v>
      </c>
      <c r="AU15" s="72">
        <v>2</v>
      </c>
      <c r="AV15" s="73">
        <v>3</v>
      </c>
      <c r="AW15" s="73" t="s">
        <v>197</v>
      </c>
      <c r="AX15" s="73">
        <v>5</v>
      </c>
      <c r="AY15" s="73">
        <v>0</v>
      </c>
      <c r="AZ15" s="73">
        <v>3</v>
      </c>
      <c r="BA15" s="73" t="s">
        <v>197</v>
      </c>
      <c r="BB15" s="73">
        <v>2</v>
      </c>
      <c r="BC15" s="73">
        <v>2</v>
      </c>
      <c r="BD15" s="73" t="s">
        <v>197</v>
      </c>
      <c r="BE15" s="73" t="s">
        <v>197</v>
      </c>
      <c r="BF15" s="73">
        <v>2</v>
      </c>
      <c r="BG15" s="73">
        <v>0</v>
      </c>
      <c r="BH15" s="73">
        <v>0</v>
      </c>
      <c r="BI15" s="73" t="s">
        <v>197</v>
      </c>
      <c r="BJ15" s="73">
        <f t="shared" si="5"/>
        <v>22.5</v>
      </c>
      <c r="BK15" s="73">
        <f t="shared" si="6"/>
        <v>16.88</v>
      </c>
      <c r="BL15" s="8"/>
      <c r="BM15" s="9"/>
      <c r="BN15" s="9"/>
      <c r="BO15" s="9"/>
      <c r="BP15" s="10"/>
      <c r="BQ15" s="11"/>
      <c r="BR15" s="73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</row>
    <row r="16" spans="1:84" s="38" customFormat="1" ht="18.75" customHeight="1" x14ac:dyDescent="0.3">
      <c r="A16" s="8">
        <v>9</v>
      </c>
      <c r="B16" s="37" t="s">
        <v>70</v>
      </c>
      <c r="C16" s="40" t="s">
        <v>193</v>
      </c>
      <c r="D16" s="73" t="s">
        <v>187</v>
      </c>
      <c r="E16" s="74" t="s">
        <v>187</v>
      </c>
      <c r="F16" s="11" t="s">
        <v>187</v>
      </c>
      <c r="G16" s="11" t="s">
        <v>187</v>
      </c>
      <c r="H16" s="11" t="s">
        <v>187</v>
      </c>
      <c r="I16" s="11" t="s">
        <v>187</v>
      </c>
      <c r="J16" s="11" t="s">
        <v>187</v>
      </c>
      <c r="K16" s="11" t="s">
        <v>187</v>
      </c>
      <c r="L16" s="11" t="s">
        <v>187</v>
      </c>
      <c r="M16" s="11" t="s">
        <v>187</v>
      </c>
      <c r="N16" s="11" t="s">
        <v>187</v>
      </c>
      <c r="O16" s="11" t="s">
        <v>187</v>
      </c>
      <c r="P16" s="11" t="s">
        <v>187</v>
      </c>
      <c r="Q16" s="11" t="s">
        <v>187</v>
      </c>
      <c r="R16" s="11" t="s">
        <v>187</v>
      </c>
      <c r="S16" s="11" t="s">
        <v>187</v>
      </c>
      <c r="T16" s="11">
        <f t="shared" si="0"/>
        <v>0</v>
      </c>
      <c r="U16" s="11">
        <f t="shared" si="3"/>
        <v>0</v>
      </c>
      <c r="V16" s="8">
        <v>29</v>
      </c>
      <c r="W16" s="37" t="s">
        <v>105</v>
      </c>
      <c r="X16" s="40" t="s">
        <v>195</v>
      </c>
      <c r="Y16" s="77" t="s">
        <v>188</v>
      </c>
      <c r="Z16" s="77" t="s">
        <v>189</v>
      </c>
      <c r="AA16" s="77" t="s">
        <v>189</v>
      </c>
      <c r="AB16" s="77" t="s">
        <v>189</v>
      </c>
      <c r="AC16" s="77" t="s">
        <v>189</v>
      </c>
      <c r="AD16" s="77" t="s">
        <v>189</v>
      </c>
      <c r="AE16" s="77" t="s">
        <v>189</v>
      </c>
      <c r="AF16" s="77" t="s">
        <v>197</v>
      </c>
      <c r="AG16" s="77" t="s">
        <v>189</v>
      </c>
      <c r="AH16" s="77" t="s">
        <v>189</v>
      </c>
      <c r="AI16" s="77" t="s">
        <v>189</v>
      </c>
      <c r="AJ16" s="77" t="s">
        <v>189</v>
      </c>
      <c r="AK16" s="77" t="s">
        <v>189</v>
      </c>
      <c r="AL16" s="77" t="s">
        <v>189</v>
      </c>
      <c r="AM16" s="77" t="s">
        <v>189</v>
      </c>
      <c r="AN16" s="73"/>
      <c r="AO16" s="73">
        <f t="shared" si="1"/>
        <v>0</v>
      </c>
      <c r="AP16" s="73">
        <f t="shared" si="4"/>
        <v>0</v>
      </c>
      <c r="AQ16" s="8">
        <v>49</v>
      </c>
      <c r="AR16" s="37" t="s">
        <v>144</v>
      </c>
      <c r="AS16" s="40" t="s">
        <v>163</v>
      </c>
      <c r="AT16" s="73">
        <v>0.5</v>
      </c>
      <c r="AU16" s="72">
        <v>0</v>
      </c>
      <c r="AV16" s="73">
        <v>0</v>
      </c>
      <c r="AW16" s="73" t="s">
        <v>197</v>
      </c>
      <c r="AX16" s="73">
        <v>0</v>
      </c>
      <c r="AY16" s="73">
        <v>0</v>
      </c>
      <c r="AZ16" s="73">
        <v>0</v>
      </c>
      <c r="BA16" s="73" t="s">
        <v>197</v>
      </c>
      <c r="BB16" s="73">
        <v>0</v>
      </c>
      <c r="BC16" s="73">
        <v>0</v>
      </c>
      <c r="BD16" s="73" t="s">
        <v>197</v>
      </c>
      <c r="BE16" s="73" t="s">
        <v>197</v>
      </c>
      <c r="BF16" s="73">
        <v>1</v>
      </c>
      <c r="BG16" s="73">
        <v>0</v>
      </c>
      <c r="BH16" s="73">
        <v>0</v>
      </c>
      <c r="BI16" s="73" t="s">
        <v>197</v>
      </c>
      <c r="BJ16" s="73">
        <f t="shared" si="5"/>
        <v>1.5</v>
      </c>
      <c r="BK16" s="73">
        <f t="shared" si="6"/>
        <v>1.1299999999999999</v>
      </c>
      <c r="BL16" s="8"/>
      <c r="BM16" s="9"/>
      <c r="BN16" s="9"/>
      <c r="BO16" s="9"/>
      <c r="BP16" s="10"/>
      <c r="BQ16" s="11"/>
      <c r="BR16" s="73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</row>
    <row r="17" spans="1:84" s="38" customFormat="1" ht="18.75" customHeight="1" x14ac:dyDescent="0.3">
      <c r="A17" s="8">
        <v>10</v>
      </c>
      <c r="B17" s="37" t="s">
        <v>71</v>
      </c>
      <c r="C17" s="40" t="s">
        <v>85</v>
      </c>
      <c r="D17" s="73">
        <v>4.5</v>
      </c>
      <c r="E17" s="72">
        <v>2.5</v>
      </c>
      <c r="F17" s="11">
        <v>0</v>
      </c>
      <c r="G17" s="73" t="s">
        <v>197</v>
      </c>
      <c r="H17" s="11">
        <v>4.5</v>
      </c>
      <c r="I17" s="11">
        <v>0</v>
      </c>
      <c r="J17" s="11">
        <v>3</v>
      </c>
      <c r="K17" s="73" t="s">
        <v>197</v>
      </c>
      <c r="L17" s="11">
        <v>0</v>
      </c>
      <c r="M17" s="11">
        <v>4.5</v>
      </c>
      <c r="N17" s="73" t="s">
        <v>197</v>
      </c>
      <c r="O17" s="73" t="s">
        <v>197</v>
      </c>
      <c r="P17" s="11">
        <v>2</v>
      </c>
      <c r="Q17" s="11">
        <v>0</v>
      </c>
      <c r="R17" s="11">
        <v>4</v>
      </c>
      <c r="S17" s="11"/>
      <c r="T17" s="11">
        <f t="shared" si="0"/>
        <v>25</v>
      </c>
      <c r="U17" s="11">
        <f t="shared" si="3"/>
        <v>18.75</v>
      </c>
      <c r="V17" s="8">
        <v>30</v>
      </c>
      <c r="W17" s="37" t="s">
        <v>106</v>
      </c>
      <c r="X17" s="40" t="s">
        <v>125</v>
      </c>
      <c r="Y17" s="73">
        <v>0.5</v>
      </c>
      <c r="Z17" s="72">
        <v>2</v>
      </c>
      <c r="AA17" s="73">
        <v>0</v>
      </c>
      <c r="AB17" s="73" t="s">
        <v>197</v>
      </c>
      <c r="AC17" s="73">
        <v>2</v>
      </c>
      <c r="AD17" s="73">
        <v>0</v>
      </c>
      <c r="AE17" s="73">
        <v>1.5</v>
      </c>
      <c r="AF17" s="73" t="s">
        <v>197</v>
      </c>
      <c r="AG17" s="73">
        <v>0</v>
      </c>
      <c r="AH17" s="73">
        <v>2.5</v>
      </c>
      <c r="AI17" s="73" t="s">
        <v>197</v>
      </c>
      <c r="AJ17" s="73" t="s">
        <v>197</v>
      </c>
      <c r="AK17" s="73">
        <v>2</v>
      </c>
      <c r="AL17" s="73">
        <v>0</v>
      </c>
      <c r="AM17" s="73">
        <v>0</v>
      </c>
      <c r="AN17" s="73" t="s">
        <v>197</v>
      </c>
      <c r="AO17" s="73">
        <f>SUM(Y17:AN17)</f>
        <v>10.5</v>
      </c>
      <c r="AP17" s="73">
        <f t="shared" si="4"/>
        <v>7.88</v>
      </c>
      <c r="AQ17" s="8">
        <v>50</v>
      </c>
      <c r="AR17" s="37" t="s">
        <v>145</v>
      </c>
      <c r="AS17" s="40" t="s">
        <v>164</v>
      </c>
      <c r="AT17" s="73">
        <v>0.5</v>
      </c>
      <c r="AU17" s="72">
        <v>1</v>
      </c>
      <c r="AV17" s="73">
        <v>0</v>
      </c>
      <c r="AW17" s="73" t="s">
        <v>197</v>
      </c>
      <c r="AX17" s="73">
        <v>2</v>
      </c>
      <c r="AY17" s="73">
        <v>0</v>
      </c>
      <c r="AZ17" s="73">
        <v>1.5</v>
      </c>
      <c r="BA17" s="73" t="s">
        <v>197</v>
      </c>
      <c r="BB17" s="73">
        <v>0</v>
      </c>
      <c r="BC17" s="73">
        <v>2</v>
      </c>
      <c r="BD17" s="73" t="s">
        <v>197</v>
      </c>
      <c r="BE17" s="73" t="s">
        <v>197</v>
      </c>
      <c r="BF17" s="73">
        <v>2</v>
      </c>
      <c r="BG17" s="73">
        <v>0</v>
      </c>
      <c r="BH17" s="73">
        <v>0</v>
      </c>
      <c r="BI17" s="73" t="s">
        <v>197</v>
      </c>
      <c r="BJ17" s="73">
        <f t="shared" si="5"/>
        <v>9</v>
      </c>
      <c r="BK17" s="73">
        <f t="shared" si="6"/>
        <v>6.75</v>
      </c>
      <c r="BL17" s="8"/>
      <c r="BM17" s="9"/>
      <c r="BN17" s="9"/>
      <c r="BO17" s="12"/>
      <c r="BP17" s="13"/>
      <c r="BQ17" s="11"/>
      <c r="BR17" s="73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</row>
    <row r="18" spans="1:84" s="38" customFormat="1" ht="18.75" customHeight="1" x14ac:dyDescent="0.3">
      <c r="A18" s="8">
        <v>11</v>
      </c>
      <c r="B18" s="37" t="s">
        <v>72</v>
      </c>
      <c r="C18" s="40" t="s">
        <v>86</v>
      </c>
      <c r="D18" s="73">
        <v>3</v>
      </c>
      <c r="E18" s="72">
        <v>2</v>
      </c>
      <c r="F18" s="11">
        <v>1</v>
      </c>
      <c r="G18" s="73" t="s">
        <v>197</v>
      </c>
      <c r="H18" s="11">
        <v>3.5</v>
      </c>
      <c r="I18" s="11">
        <v>2</v>
      </c>
      <c r="J18" s="11">
        <v>3</v>
      </c>
      <c r="K18" s="73" t="s">
        <v>197</v>
      </c>
      <c r="L18" s="11">
        <v>4</v>
      </c>
      <c r="M18" s="11">
        <v>4.5</v>
      </c>
      <c r="N18" s="73" t="s">
        <v>197</v>
      </c>
      <c r="O18" s="73" t="s">
        <v>197</v>
      </c>
      <c r="P18" s="11">
        <v>2</v>
      </c>
      <c r="Q18" s="11">
        <v>0</v>
      </c>
      <c r="R18" s="11">
        <v>3.5</v>
      </c>
      <c r="S18" s="11"/>
      <c r="T18" s="11">
        <f t="shared" si="0"/>
        <v>28.5</v>
      </c>
      <c r="U18" s="11">
        <f t="shared" si="3"/>
        <v>21.38</v>
      </c>
      <c r="V18" s="8">
        <v>31</v>
      </c>
      <c r="W18" s="37" t="s">
        <v>107</v>
      </c>
      <c r="X18" s="40" t="s">
        <v>126</v>
      </c>
      <c r="Y18" s="73">
        <v>2</v>
      </c>
      <c r="Z18" s="72">
        <v>2</v>
      </c>
      <c r="AA18" s="73">
        <v>0</v>
      </c>
      <c r="AB18" s="73" t="s">
        <v>197</v>
      </c>
      <c r="AC18" s="73">
        <v>3</v>
      </c>
      <c r="AD18" s="73">
        <v>1</v>
      </c>
      <c r="AE18" s="73">
        <v>2.5</v>
      </c>
      <c r="AF18" s="73" t="s">
        <v>197</v>
      </c>
      <c r="AG18" s="73">
        <v>0</v>
      </c>
      <c r="AH18" s="73">
        <v>3</v>
      </c>
      <c r="AI18" s="73" t="s">
        <v>197</v>
      </c>
      <c r="AJ18" s="73" t="s">
        <v>197</v>
      </c>
      <c r="AK18" s="73">
        <v>2</v>
      </c>
      <c r="AL18" s="73">
        <v>0</v>
      </c>
      <c r="AM18" s="73">
        <v>0</v>
      </c>
      <c r="AN18" s="73" t="s">
        <v>197</v>
      </c>
      <c r="AO18" s="73">
        <f>SUM(Y18:AN18)</f>
        <v>15.5</v>
      </c>
      <c r="AP18" s="73">
        <f t="shared" si="4"/>
        <v>11.63</v>
      </c>
      <c r="AQ18" s="8">
        <v>51</v>
      </c>
      <c r="AR18" s="37" t="s">
        <v>146</v>
      </c>
      <c r="AS18" s="40" t="s">
        <v>165</v>
      </c>
      <c r="AT18" s="73">
        <v>1</v>
      </c>
      <c r="AU18" s="72">
        <v>0</v>
      </c>
      <c r="AV18" s="73">
        <v>0</v>
      </c>
      <c r="AW18" s="73" t="s">
        <v>197</v>
      </c>
      <c r="AX18" s="73">
        <v>3</v>
      </c>
      <c r="AY18" s="73">
        <v>0</v>
      </c>
      <c r="AZ18" s="73">
        <v>0</v>
      </c>
      <c r="BA18" s="73" t="s">
        <v>197</v>
      </c>
      <c r="BB18" s="73">
        <v>0</v>
      </c>
      <c r="BC18" s="73">
        <v>0</v>
      </c>
      <c r="BD18" s="73" t="s">
        <v>197</v>
      </c>
      <c r="BE18" s="73" t="s">
        <v>197</v>
      </c>
      <c r="BF18" s="73">
        <v>2</v>
      </c>
      <c r="BG18" s="73">
        <v>0</v>
      </c>
      <c r="BH18" s="73">
        <v>0</v>
      </c>
      <c r="BI18" s="73" t="s">
        <v>197</v>
      </c>
      <c r="BJ18" s="73">
        <f t="shared" si="5"/>
        <v>6</v>
      </c>
      <c r="BK18" s="73">
        <f t="shared" si="6"/>
        <v>4.5</v>
      </c>
      <c r="BL18" s="8"/>
      <c r="BM18" s="9"/>
      <c r="BN18" s="9"/>
      <c r="BO18" s="9"/>
      <c r="BP18" s="10"/>
      <c r="BQ18" s="11"/>
      <c r="BR18" s="73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</row>
    <row r="19" spans="1:84" s="38" customFormat="1" ht="18.75" customHeight="1" x14ac:dyDescent="0.3">
      <c r="A19" s="8">
        <v>12</v>
      </c>
      <c r="B19" s="37" t="s">
        <v>73</v>
      </c>
      <c r="C19" s="40" t="s">
        <v>87</v>
      </c>
      <c r="D19" s="73">
        <v>1</v>
      </c>
      <c r="E19" s="72">
        <v>0</v>
      </c>
      <c r="F19" s="11">
        <v>1</v>
      </c>
      <c r="G19" s="73" t="s">
        <v>197</v>
      </c>
      <c r="H19" s="11">
        <v>0</v>
      </c>
      <c r="I19" s="11">
        <v>0</v>
      </c>
      <c r="J19" s="11">
        <v>0</v>
      </c>
      <c r="K19" s="73" t="s">
        <v>197</v>
      </c>
      <c r="L19" s="11">
        <v>0</v>
      </c>
      <c r="M19" s="11">
        <v>0</v>
      </c>
      <c r="N19" s="73" t="s">
        <v>197</v>
      </c>
      <c r="O19" s="73" t="s">
        <v>197</v>
      </c>
      <c r="P19" s="11">
        <v>0</v>
      </c>
      <c r="Q19" s="11">
        <v>0</v>
      </c>
      <c r="R19" s="11">
        <v>0</v>
      </c>
      <c r="S19" s="11"/>
      <c r="T19" s="11">
        <f t="shared" si="0"/>
        <v>2</v>
      </c>
      <c r="U19" s="11">
        <f t="shared" si="3"/>
        <v>1.5</v>
      </c>
      <c r="V19" s="8">
        <v>32</v>
      </c>
      <c r="W19" s="37" t="s">
        <v>108</v>
      </c>
      <c r="X19" s="40" t="s">
        <v>127</v>
      </c>
      <c r="Y19" s="73">
        <v>1</v>
      </c>
      <c r="Z19" s="72">
        <v>0</v>
      </c>
      <c r="AA19" s="73">
        <v>0</v>
      </c>
      <c r="AB19" s="73" t="s">
        <v>197</v>
      </c>
      <c r="AC19" s="73">
        <v>3</v>
      </c>
      <c r="AD19" s="73">
        <v>0.5</v>
      </c>
      <c r="AE19" s="73">
        <v>0.5</v>
      </c>
      <c r="AF19" s="73" t="s">
        <v>197</v>
      </c>
      <c r="AG19" s="73">
        <v>2.5</v>
      </c>
      <c r="AH19" s="73">
        <v>0</v>
      </c>
      <c r="AI19" s="73" t="s">
        <v>197</v>
      </c>
      <c r="AJ19" s="73" t="s">
        <v>197</v>
      </c>
      <c r="AK19" s="73">
        <v>0.5</v>
      </c>
      <c r="AL19" s="73">
        <v>0</v>
      </c>
      <c r="AM19" s="73">
        <v>0</v>
      </c>
      <c r="AN19" s="73" t="s">
        <v>197</v>
      </c>
      <c r="AO19" s="73">
        <f t="shared" si="1"/>
        <v>8</v>
      </c>
      <c r="AP19" s="73">
        <f t="shared" si="4"/>
        <v>6</v>
      </c>
      <c r="AQ19" s="8">
        <v>52</v>
      </c>
      <c r="AR19" s="37" t="s">
        <v>147</v>
      </c>
      <c r="AS19" s="40" t="s">
        <v>191</v>
      </c>
      <c r="AT19" s="73" t="s">
        <v>189</v>
      </c>
      <c r="AU19" s="72" t="s">
        <v>189</v>
      </c>
      <c r="AV19" s="73" t="s">
        <v>189</v>
      </c>
      <c r="AW19" s="73" t="s">
        <v>197</v>
      </c>
      <c r="AX19" s="73" t="s">
        <v>189</v>
      </c>
      <c r="AY19" s="73" t="s">
        <v>189</v>
      </c>
      <c r="AZ19" s="73" t="s">
        <v>189</v>
      </c>
      <c r="BA19" s="73" t="s">
        <v>197</v>
      </c>
      <c r="BB19" s="73" t="s">
        <v>189</v>
      </c>
      <c r="BC19" s="73" t="s">
        <v>189</v>
      </c>
      <c r="BD19" s="73" t="s">
        <v>197</v>
      </c>
      <c r="BE19" s="73" t="s">
        <v>197</v>
      </c>
      <c r="BF19" s="73" t="s">
        <v>189</v>
      </c>
      <c r="BG19" s="73" t="s">
        <v>189</v>
      </c>
      <c r="BH19" s="73" t="s">
        <v>189</v>
      </c>
      <c r="BI19" s="73" t="s">
        <v>197</v>
      </c>
      <c r="BJ19" s="73">
        <f t="shared" si="5"/>
        <v>0</v>
      </c>
      <c r="BK19" s="73">
        <f t="shared" si="6"/>
        <v>0</v>
      </c>
      <c r="BL19" s="8"/>
      <c r="BM19" s="9"/>
      <c r="BN19" s="9"/>
      <c r="BO19" s="9"/>
      <c r="BP19" s="10"/>
      <c r="BQ19" s="11"/>
      <c r="BR19" s="73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</row>
    <row r="20" spans="1:84" s="38" customFormat="1" ht="18.75" customHeight="1" x14ac:dyDescent="0.3">
      <c r="A20" s="8">
        <v>13</v>
      </c>
      <c r="B20" s="37" t="s">
        <v>74</v>
      </c>
      <c r="C20" s="40" t="s">
        <v>88</v>
      </c>
      <c r="D20" s="8">
        <v>0</v>
      </c>
      <c r="E20" s="14">
        <v>3</v>
      </c>
      <c r="F20" s="11">
        <v>0</v>
      </c>
      <c r="G20" s="73" t="s">
        <v>197</v>
      </c>
      <c r="H20" s="11">
        <v>5</v>
      </c>
      <c r="I20" s="11">
        <v>0</v>
      </c>
      <c r="J20" s="11">
        <v>1.5</v>
      </c>
      <c r="K20" s="73" t="s">
        <v>197</v>
      </c>
      <c r="L20" s="11">
        <v>0</v>
      </c>
      <c r="M20" s="11">
        <v>3</v>
      </c>
      <c r="N20" s="73" t="s">
        <v>197</v>
      </c>
      <c r="O20" s="73" t="s">
        <v>197</v>
      </c>
      <c r="P20" s="11">
        <v>1.5</v>
      </c>
      <c r="Q20" s="11">
        <v>0</v>
      </c>
      <c r="R20" s="11">
        <v>3.5</v>
      </c>
      <c r="S20" s="11"/>
      <c r="T20" s="11">
        <f t="shared" si="0"/>
        <v>17.5</v>
      </c>
      <c r="U20" s="11">
        <f t="shared" si="3"/>
        <v>13.13</v>
      </c>
      <c r="V20" s="8">
        <v>33</v>
      </c>
      <c r="W20" s="37" t="s">
        <v>109</v>
      </c>
      <c r="X20" s="40" t="s">
        <v>128</v>
      </c>
      <c r="Y20" s="75">
        <v>3</v>
      </c>
      <c r="Z20" s="76">
        <v>2</v>
      </c>
      <c r="AA20" s="73">
        <v>0</v>
      </c>
      <c r="AB20" s="73" t="s">
        <v>197</v>
      </c>
      <c r="AC20" s="73">
        <v>5</v>
      </c>
      <c r="AD20" s="73">
        <v>0.5</v>
      </c>
      <c r="AE20" s="73">
        <v>0.5</v>
      </c>
      <c r="AF20" s="73" t="s">
        <v>197</v>
      </c>
      <c r="AG20" s="73">
        <v>0</v>
      </c>
      <c r="AH20" s="73">
        <v>1</v>
      </c>
      <c r="AI20" s="73" t="s">
        <v>197</v>
      </c>
      <c r="AJ20" s="73" t="s">
        <v>197</v>
      </c>
      <c r="AK20" s="73">
        <v>1.5</v>
      </c>
      <c r="AL20" s="73">
        <v>2</v>
      </c>
      <c r="AM20" s="73">
        <v>0</v>
      </c>
      <c r="AN20" s="73" t="s">
        <v>197</v>
      </c>
      <c r="AO20" s="73">
        <f t="shared" si="1"/>
        <v>15.5</v>
      </c>
      <c r="AP20" s="73">
        <f t="shared" si="4"/>
        <v>11.63</v>
      </c>
      <c r="AQ20" s="8">
        <v>53</v>
      </c>
      <c r="AR20" s="37" t="s">
        <v>148</v>
      </c>
      <c r="AS20" s="40" t="s">
        <v>166</v>
      </c>
      <c r="AT20" s="73">
        <v>4</v>
      </c>
      <c r="AU20" s="72">
        <v>2</v>
      </c>
      <c r="AV20" s="73">
        <v>2</v>
      </c>
      <c r="AW20" s="73" t="s">
        <v>197</v>
      </c>
      <c r="AX20" s="73">
        <v>3</v>
      </c>
      <c r="AY20" s="73">
        <v>0</v>
      </c>
      <c r="AZ20" s="73">
        <v>1.5</v>
      </c>
      <c r="BA20" s="73" t="s">
        <v>197</v>
      </c>
      <c r="BB20" s="73">
        <v>2</v>
      </c>
      <c r="BC20" s="73">
        <v>3</v>
      </c>
      <c r="BD20" s="73" t="s">
        <v>197</v>
      </c>
      <c r="BE20" s="73" t="s">
        <v>197</v>
      </c>
      <c r="BF20" s="73">
        <v>1</v>
      </c>
      <c r="BG20" s="73">
        <v>0</v>
      </c>
      <c r="BH20" s="73">
        <v>0</v>
      </c>
      <c r="BI20" s="73" t="s">
        <v>197</v>
      </c>
      <c r="BJ20" s="73">
        <f t="shared" si="5"/>
        <v>18.5</v>
      </c>
      <c r="BK20" s="73">
        <f t="shared" si="6"/>
        <v>13.88</v>
      </c>
      <c r="BL20" s="8"/>
      <c r="BM20" s="9"/>
      <c r="BN20" s="9"/>
      <c r="BO20" s="8"/>
      <c r="BP20" s="14"/>
      <c r="BQ20" s="11"/>
      <c r="BR20" s="73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</row>
    <row r="21" spans="1:84" s="38" customFormat="1" ht="18.75" customHeight="1" x14ac:dyDescent="0.3">
      <c r="A21" s="8">
        <v>14</v>
      </c>
      <c r="B21" s="37" t="s">
        <v>75</v>
      </c>
      <c r="C21" s="40" t="s">
        <v>89</v>
      </c>
      <c r="D21" s="75">
        <v>4</v>
      </c>
      <c r="E21" s="76">
        <v>2</v>
      </c>
      <c r="F21" s="11">
        <v>1</v>
      </c>
      <c r="G21" s="73" t="s">
        <v>197</v>
      </c>
      <c r="H21" s="11">
        <v>4.5</v>
      </c>
      <c r="I21" s="11">
        <v>0</v>
      </c>
      <c r="J21" s="11">
        <v>1.5</v>
      </c>
      <c r="K21" s="73" t="s">
        <v>197</v>
      </c>
      <c r="L21" s="11">
        <v>0</v>
      </c>
      <c r="M21" s="11">
        <v>3</v>
      </c>
      <c r="N21" s="73" t="s">
        <v>197</v>
      </c>
      <c r="O21" s="73" t="s">
        <v>197</v>
      </c>
      <c r="P21" s="11">
        <v>2</v>
      </c>
      <c r="Q21" s="11">
        <v>0</v>
      </c>
      <c r="R21" s="11">
        <v>3</v>
      </c>
      <c r="S21" s="11"/>
      <c r="T21" s="11">
        <f t="shared" si="0"/>
        <v>21</v>
      </c>
      <c r="U21" s="11">
        <f t="shared" si="3"/>
        <v>15.75</v>
      </c>
      <c r="V21" s="8">
        <v>34</v>
      </c>
      <c r="W21" s="37" t="s">
        <v>110</v>
      </c>
      <c r="X21" s="40" t="s">
        <v>129</v>
      </c>
      <c r="Y21" s="75">
        <v>4</v>
      </c>
      <c r="Z21" s="76">
        <v>3</v>
      </c>
      <c r="AA21" s="73">
        <v>0</v>
      </c>
      <c r="AB21" s="73" t="s">
        <v>197</v>
      </c>
      <c r="AC21" s="73">
        <v>5</v>
      </c>
      <c r="AD21" s="73">
        <v>0</v>
      </c>
      <c r="AE21" s="73">
        <v>3</v>
      </c>
      <c r="AF21" s="73" t="s">
        <v>197</v>
      </c>
      <c r="AG21" s="73">
        <v>0</v>
      </c>
      <c r="AH21" s="73">
        <v>3</v>
      </c>
      <c r="AI21" s="73" t="s">
        <v>197</v>
      </c>
      <c r="AJ21" s="73" t="s">
        <v>197</v>
      </c>
      <c r="AK21" s="73">
        <v>2</v>
      </c>
      <c r="AL21" s="73">
        <v>4</v>
      </c>
      <c r="AM21" s="73">
        <v>2</v>
      </c>
      <c r="AN21" s="73" t="s">
        <v>197</v>
      </c>
      <c r="AO21" s="73">
        <f t="shared" si="1"/>
        <v>26</v>
      </c>
      <c r="AP21" s="73">
        <f t="shared" si="4"/>
        <v>19.5</v>
      </c>
      <c r="AQ21" s="8">
        <v>54</v>
      </c>
      <c r="AR21" s="37" t="s">
        <v>149</v>
      </c>
      <c r="AS21" s="40" t="s">
        <v>196</v>
      </c>
      <c r="AT21" s="73" t="s">
        <v>189</v>
      </c>
      <c r="AU21" s="72" t="s">
        <v>189</v>
      </c>
      <c r="AV21" s="73" t="s">
        <v>189</v>
      </c>
      <c r="AW21" s="73" t="s">
        <v>197</v>
      </c>
      <c r="AX21" s="73" t="s">
        <v>189</v>
      </c>
      <c r="AY21" s="73" t="s">
        <v>189</v>
      </c>
      <c r="AZ21" s="73" t="s">
        <v>189</v>
      </c>
      <c r="BA21" s="73" t="s">
        <v>197</v>
      </c>
      <c r="BB21" s="73" t="s">
        <v>189</v>
      </c>
      <c r="BC21" s="73" t="s">
        <v>189</v>
      </c>
      <c r="BD21" s="73" t="s">
        <v>197</v>
      </c>
      <c r="BE21" s="73" t="s">
        <v>197</v>
      </c>
      <c r="BF21" s="73" t="s">
        <v>189</v>
      </c>
      <c r="BG21" s="73" t="s">
        <v>189</v>
      </c>
      <c r="BH21" s="73" t="s">
        <v>189</v>
      </c>
      <c r="BI21" s="73" t="s">
        <v>197</v>
      </c>
      <c r="BJ21" s="73">
        <f t="shared" si="5"/>
        <v>0</v>
      </c>
      <c r="BK21" s="73">
        <f t="shared" si="6"/>
        <v>0</v>
      </c>
      <c r="BL21" s="8"/>
      <c r="BM21" s="9"/>
      <c r="BN21" s="9"/>
      <c r="BO21" s="8"/>
      <c r="BP21" s="14"/>
      <c r="BQ21" s="11"/>
      <c r="BR21" s="73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</row>
    <row r="22" spans="1:84" s="38" customFormat="1" ht="18.75" customHeight="1" x14ac:dyDescent="0.3">
      <c r="A22" s="8">
        <v>15</v>
      </c>
      <c r="B22" s="37" t="s">
        <v>76</v>
      </c>
      <c r="C22" s="40" t="s">
        <v>90</v>
      </c>
      <c r="D22" s="75">
        <v>1</v>
      </c>
      <c r="E22" s="76">
        <v>1.5</v>
      </c>
      <c r="F22" s="11">
        <v>0</v>
      </c>
      <c r="G22" s="73" t="s">
        <v>197</v>
      </c>
      <c r="H22" s="11">
        <v>1.5</v>
      </c>
      <c r="I22" s="11">
        <v>0</v>
      </c>
      <c r="J22" s="11">
        <v>2</v>
      </c>
      <c r="K22" s="73" t="s">
        <v>197</v>
      </c>
      <c r="L22" s="11">
        <v>0</v>
      </c>
      <c r="M22" s="11">
        <v>2</v>
      </c>
      <c r="N22" s="73" t="s">
        <v>197</v>
      </c>
      <c r="O22" s="73" t="s">
        <v>197</v>
      </c>
      <c r="P22" s="38">
        <v>2</v>
      </c>
      <c r="Q22" s="11">
        <v>1</v>
      </c>
      <c r="R22" s="11">
        <v>0</v>
      </c>
      <c r="S22" s="11"/>
      <c r="T22" s="11">
        <f t="shared" si="0"/>
        <v>11</v>
      </c>
      <c r="U22" s="11">
        <f t="shared" si="3"/>
        <v>8.25</v>
      </c>
      <c r="V22" s="8">
        <v>35</v>
      </c>
      <c r="W22" s="37" t="s">
        <v>111</v>
      </c>
      <c r="X22" s="40" t="s">
        <v>130</v>
      </c>
      <c r="Y22" s="75">
        <v>3</v>
      </c>
      <c r="Z22" s="76">
        <v>2</v>
      </c>
      <c r="AA22" s="73">
        <v>0</v>
      </c>
      <c r="AB22" s="73" t="s">
        <v>197</v>
      </c>
      <c r="AC22" s="73">
        <v>3</v>
      </c>
      <c r="AD22" s="73">
        <v>0</v>
      </c>
      <c r="AE22" s="73">
        <v>1</v>
      </c>
      <c r="AF22" s="73" t="s">
        <v>197</v>
      </c>
      <c r="AG22" s="73">
        <v>0</v>
      </c>
      <c r="AH22" s="73">
        <v>0</v>
      </c>
      <c r="AI22" s="73" t="s">
        <v>197</v>
      </c>
      <c r="AJ22" s="73" t="s">
        <v>197</v>
      </c>
      <c r="AK22" s="73">
        <v>2</v>
      </c>
      <c r="AL22" s="73">
        <v>0</v>
      </c>
      <c r="AM22" s="73">
        <v>0</v>
      </c>
      <c r="AN22" s="73" t="s">
        <v>197</v>
      </c>
      <c r="AO22" s="73">
        <f t="shared" si="1"/>
        <v>11</v>
      </c>
      <c r="AP22" s="73">
        <f t="shared" si="4"/>
        <v>8.25</v>
      </c>
      <c r="AQ22" s="8">
        <v>55</v>
      </c>
      <c r="AR22" s="37" t="s">
        <v>150</v>
      </c>
      <c r="AS22" s="40" t="s">
        <v>167</v>
      </c>
      <c r="AT22" s="73" t="s">
        <v>189</v>
      </c>
      <c r="AU22" s="72" t="s">
        <v>189</v>
      </c>
      <c r="AV22" s="73" t="s">
        <v>189</v>
      </c>
      <c r="AW22" s="73" t="s">
        <v>197</v>
      </c>
      <c r="AX22" s="73" t="s">
        <v>189</v>
      </c>
      <c r="AY22" s="73" t="s">
        <v>189</v>
      </c>
      <c r="AZ22" s="73" t="s">
        <v>189</v>
      </c>
      <c r="BA22" s="73" t="s">
        <v>197</v>
      </c>
      <c r="BB22" s="73" t="s">
        <v>189</v>
      </c>
      <c r="BC22" s="73" t="s">
        <v>189</v>
      </c>
      <c r="BD22" s="73" t="s">
        <v>197</v>
      </c>
      <c r="BE22" s="73" t="s">
        <v>197</v>
      </c>
      <c r="BF22" s="73" t="s">
        <v>189</v>
      </c>
      <c r="BG22" s="73" t="s">
        <v>189</v>
      </c>
      <c r="BH22" s="73" t="s">
        <v>189</v>
      </c>
      <c r="BI22" s="73" t="s">
        <v>197</v>
      </c>
      <c r="BJ22" s="73">
        <f t="shared" si="5"/>
        <v>0</v>
      </c>
      <c r="BK22" s="73">
        <f t="shared" si="6"/>
        <v>0</v>
      </c>
      <c r="BL22" s="8"/>
      <c r="BM22" s="9"/>
      <c r="BN22" s="9"/>
      <c r="BO22" s="8"/>
      <c r="BP22" s="14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</row>
    <row r="23" spans="1:84" s="38" customFormat="1" ht="18.75" customHeight="1" x14ac:dyDescent="0.3">
      <c r="A23" s="8">
        <v>16</v>
      </c>
      <c r="B23" s="37" t="s">
        <v>77</v>
      </c>
      <c r="C23" s="40" t="s">
        <v>91</v>
      </c>
      <c r="D23" s="75">
        <v>2</v>
      </c>
      <c r="E23" s="76">
        <v>0</v>
      </c>
      <c r="F23" s="11">
        <v>0</v>
      </c>
      <c r="G23" s="73" t="s">
        <v>197</v>
      </c>
      <c r="H23" s="11">
        <v>0</v>
      </c>
      <c r="I23" s="11">
        <v>0</v>
      </c>
      <c r="J23" s="11">
        <v>0.5</v>
      </c>
      <c r="K23" s="73" t="s">
        <v>197</v>
      </c>
      <c r="L23" s="11">
        <v>0</v>
      </c>
      <c r="M23" s="11">
        <v>1</v>
      </c>
      <c r="N23" s="73" t="s">
        <v>197</v>
      </c>
      <c r="O23" s="73" t="s">
        <v>197</v>
      </c>
      <c r="P23" s="11">
        <v>2</v>
      </c>
      <c r="Q23" s="11">
        <v>2</v>
      </c>
      <c r="R23" s="11">
        <v>0</v>
      </c>
      <c r="S23" s="11"/>
      <c r="T23" s="11">
        <f t="shared" si="0"/>
        <v>7.5</v>
      </c>
      <c r="U23" s="11">
        <f t="shared" si="3"/>
        <v>5.63</v>
      </c>
      <c r="V23" s="8">
        <v>36</v>
      </c>
      <c r="W23" s="37" t="s">
        <v>112</v>
      </c>
      <c r="X23" s="40" t="s">
        <v>131</v>
      </c>
      <c r="Y23" s="75">
        <v>1</v>
      </c>
      <c r="Z23" s="76">
        <v>0.5</v>
      </c>
      <c r="AA23" s="73">
        <v>0</v>
      </c>
      <c r="AB23" s="73" t="s">
        <v>197</v>
      </c>
      <c r="AC23" s="73">
        <v>2.5</v>
      </c>
      <c r="AD23" s="73">
        <v>1</v>
      </c>
      <c r="AE23" s="73">
        <v>1.5</v>
      </c>
      <c r="AF23" s="73" t="s">
        <v>197</v>
      </c>
      <c r="AG23" s="73">
        <v>0</v>
      </c>
      <c r="AH23" s="73">
        <v>0</v>
      </c>
      <c r="AI23" s="73" t="s">
        <v>197</v>
      </c>
      <c r="AJ23" s="73" t="s">
        <v>197</v>
      </c>
      <c r="AK23" s="73">
        <v>2</v>
      </c>
      <c r="AL23" s="73">
        <v>0</v>
      </c>
      <c r="AM23" s="73">
        <v>0</v>
      </c>
      <c r="AN23" s="73" t="s">
        <v>197</v>
      </c>
      <c r="AO23" s="73">
        <f t="shared" si="1"/>
        <v>8.5</v>
      </c>
      <c r="AP23" s="73">
        <f t="shared" si="4"/>
        <v>6.38</v>
      </c>
      <c r="AQ23" s="8">
        <v>56</v>
      </c>
      <c r="AR23" s="37" t="s">
        <v>151</v>
      </c>
      <c r="AS23" s="40" t="s">
        <v>168</v>
      </c>
      <c r="AT23" s="75">
        <v>4</v>
      </c>
      <c r="AU23" s="76">
        <v>3</v>
      </c>
      <c r="AV23" s="73">
        <v>0</v>
      </c>
      <c r="AW23" s="73" t="s">
        <v>197</v>
      </c>
      <c r="AX23" s="73">
        <v>3</v>
      </c>
      <c r="AY23" s="73">
        <v>1</v>
      </c>
      <c r="AZ23" s="73">
        <v>3</v>
      </c>
      <c r="BA23" s="73" t="s">
        <v>197</v>
      </c>
      <c r="BB23" s="73">
        <v>4</v>
      </c>
      <c r="BC23" s="73">
        <v>5</v>
      </c>
      <c r="BD23" s="73" t="s">
        <v>197</v>
      </c>
      <c r="BE23" s="73" t="s">
        <v>197</v>
      </c>
      <c r="BF23" s="73">
        <v>2</v>
      </c>
      <c r="BG23" s="73">
        <v>2</v>
      </c>
      <c r="BH23" s="73">
        <v>3</v>
      </c>
      <c r="BI23" s="73" t="s">
        <v>197</v>
      </c>
      <c r="BJ23" s="73">
        <f t="shared" si="5"/>
        <v>30</v>
      </c>
      <c r="BK23" s="73">
        <f t="shared" si="6"/>
        <v>22.5</v>
      </c>
      <c r="BL23" s="8"/>
      <c r="BM23" s="9"/>
      <c r="BN23" s="9"/>
      <c r="BO23" s="8"/>
      <c r="BP23" s="14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</row>
    <row r="24" spans="1:84" s="38" customFormat="1" ht="18.75" customHeight="1" x14ac:dyDescent="0.3">
      <c r="A24" s="8">
        <v>17</v>
      </c>
      <c r="B24" s="37" t="s">
        <v>78</v>
      </c>
      <c r="C24" s="40" t="s">
        <v>92</v>
      </c>
      <c r="D24" s="73" t="s">
        <v>187</v>
      </c>
      <c r="E24" s="72" t="s">
        <v>187</v>
      </c>
      <c r="F24" s="11" t="s">
        <v>187</v>
      </c>
      <c r="G24" s="11" t="s">
        <v>187</v>
      </c>
      <c r="H24" s="11" t="s">
        <v>187</v>
      </c>
      <c r="I24" s="11" t="s">
        <v>187</v>
      </c>
      <c r="J24" s="11" t="s">
        <v>187</v>
      </c>
      <c r="K24" s="11" t="s">
        <v>187</v>
      </c>
      <c r="L24" s="11" t="s">
        <v>187</v>
      </c>
      <c r="M24" s="11" t="s">
        <v>187</v>
      </c>
      <c r="N24" s="11" t="s">
        <v>187</v>
      </c>
      <c r="O24" s="11" t="s">
        <v>187</v>
      </c>
      <c r="P24" s="11" t="s">
        <v>187</v>
      </c>
      <c r="Q24" s="11" t="s">
        <v>187</v>
      </c>
      <c r="R24" s="11" t="s">
        <v>187</v>
      </c>
      <c r="S24" s="11" t="s">
        <v>187</v>
      </c>
      <c r="T24" s="11">
        <f t="shared" si="0"/>
        <v>0</v>
      </c>
      <c r="U24" s="11">
        <f t="shared" si="3"/>
        <v>0</v>
      </c>
      <c r="V24" s="8">
        <v>37</v>
      </c>
      <c r="W24" s="37" t="s">
        <v>113</v>
      </c>
      <c r="X24" s="40" t="s">
        <v>132</v>
      </c>
      <c r="Y24" s="75">
        <v>0</v>
      </c>
      <c r="Z24" s="76">
        <v>0</v>
      </c>
      <c r="AA24" s="73">
        <v>0</v>
      </c>
      <c r="AB24" s="73" t="s">
        <v>197</v>
      </c>
      <c r="AC24" s="73">
        <v>0</v>
      </c>
      <c r="AD24" s="73">
        <v>0</v>
      </c>
      <c r="AE24" s="73">
        <v>0</v>
      </c>
      <c r="AF24" s="73" t="s">
        <v>197</v>
      </c>
      <c r="AG24" s="73">
        <v>0</v>
      </c>
      <c r="AH24" s="73">
        <v>0</v>
      </c>
      <c r="AI24" s="73" t="s">
        <v>197</v>
      </c>
      <c r="AJ24" s="73" t="s">
        <v>197</v>
      </c>
      <c r="AK24" s="73">
        <v>0</v>
      </c>
      <c r="AL24" s="73">
        <v>0</v>
      </c>
      <c r="AM24" s="73">
        <v>0</v>
      </c>
      <c r="AN24" s="73" t="s">
        <v>197</v>
      </c>
      <c r="AO24" s="73">
        <f t="shared" si="1"/>
        <v>0</v>
      </c>
      <c r="AP24" s="73">
        <f t="shared" si="4"/>
        <v>0</v>
      </c>
      <c r="AQ24" s="8">
        <v>57</v>
      </c>
      <c r="AR24" s="37" t="s">
        <v>152</v>
      </c>
      <c r="AS24" s="40" t="s">
        <v>169</v>
      </c>
      <c r="AT24" s="75">
        <v>2</v>
      </c>
      <c r="AU24" s="76">
        <v>0</v>
      </c>
      <c r="AV24" s="73">
        <v>0</v>
      </c>
      <c r="AW24" s="73" t="s">
        <v>197</v>
      </c>
      <c r="AX24" s="73">
        <v>1</v>
      </c>
      <c r="AY24" s="73">
        <v>0.5</v>
      </c>
      <c r="AZ24" s="73">
        <v>0</v>
      </c>
      <c r="BA24" s="73" t="s">
        <v>197</v>
      </c>
      <c r="BB24" s="73">
        <v>0</v>
      </c>
      <c r="BC24" s="73">
        <v>0</v>
      </c>
      <c r="BD24" s="73" t="s">
        <v>197</v>
      </c>
      <c r="BE24" s="73" t="s">
        <v>197</v>
      </c>
      <c r="BF24" s="73">
        <v>1</v>
      </c>
      <c r="BG24" s="73">
        <v>0</v>
      </c>
      <c r="BH24" s="73">
        <v>0</v>
      </c>
      <c r="BI24" s="73" t="s">
        <v>197</v>
      </c>
      <c r="BJ24" s="73">
        <f t="shared" si="5"/>
        <v>4.5</v>
      </c>
      <c r="BK24" s="73">
        <f t="shared" si="6"/>
        <v>3.38</v>
      </c>
      <c r="BL24" s="8"/>
      <c r="BM24" s="9"/>
      <c r="BN24" s="9"/>
      <c r="BO24" s="8"/>
      <c r="BP24" s="14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</row>
    <row r="25" spans="1:84" s="38" customFormat="1" ht="18.75" customHeight="1" x14ac:dyDescent="0.3">
      <c r="A25" s="8">
        <v>18</v>
      </c>
      <c r="B25" s="37" t="s">
        <v>79</v>
      </c>
      <c r="C25" s="40" t="s">
        <v>93</v>
      </c>
      <c r="D25" s="73" t="s">
        <v>187</v>
      </c>
      <c r="E25" s="72" t="s">
        <v>187</v>
      </c>
      <c r="F25" s="11" t="s">
        <v>187</v>
      </c>
      <c r="G25" s="11" t="s">
        <v>187</v>
      </c>
      <c r="H25" s="11" t="s">
        <v>187</v>
      </c>
      <c r="I25" s="11" t="s">
        <v>187</v>
      </c>
      <c r="J25" s="11" t="s">
        <v>187</v>
      </c>
      <c r="K25" s="11" t="s">
        <v>187</v>
      </c>
      <c r="L25" s="11" t="s">
        <v>187</v>
      </c>
      <c r="M25" s="11" t="s">
        <v>187</v>
      </c>
      <c r="N25" s="11" t="s">
        <v>187</v>
      </c>
      <c r="O25" s="11" t="s">
        <v>187</v>
      </c>
      <c r="P25" s="11" t="s">
        <v>187</v>
      </c>
      <c r="Q25" s="11" t="s">
        <v>187</v>
      </c>
      <c r="R25" s="11" t="s">
        <v>187</v>
      </c>
      <c r="S25" s="11" t="s">
        <v>187</v>
      </c>
      <c r="T25" s="11">
        <f t="shared" si="0"/>
        <v>0</v>
      </c>
      <c r="U25" s="11">
        <f t="shared" si="3"/>
        <v>0</v>
      </c>
      <c r="V25" s="8">
        <v>38</v>
      </c>
      <c r="W25" s="37" t="s">
        <v>114</v>
      </c>
      <c r="X25" s="40" t="s">
        <v>133</v>
      </c>
      <c r="Y25" s="75">
        <v>0.5</v>
      </c>
      <c r="Z25" s="76">
        <v>0</v>
      </c>
      <c r="AA25" s="73">
        <v>0</v>
      </c>
      <c r="AB25" s="73" t="s">
        <v>197</v>
      </c>
      <c r="AC25" s="73">
        <v>0.5</v>
      </c>
      <c r="AD25" s="73">
        <v>0</v>
      </c>
      <c r="AE25" s="73">
        <v>0</v>
      </c>
      <c r="AF25" s="73" t="s">
        <v>197</v>
      </c>
      <c r="AG25" s="73">
        <v>0</v>
      </c>
      <c r="AH25" s="73">
        <v>0</v>
      </c>
      <c r="AI25" s="73" t="s">
        <v>197</v>
      </c>
      <c r="AJ25" s="73" t="s">
        <v>197</v>
      </c>
      <c r="AK25" s="73">
        <v>0</v>
      </c>
      <c r="AL25" s="73">
        <v>0</v>
      </c>
      <c r="AM25" s="73">
        <v>0</v>
      </c>
      <c r="AN25" s="73" t="s">
        <v>197</v>
      </c>
      <c r="AO25" s="73">
        <f t="shared" si="1"/>
        <v>1</v>
      </c>
      <c r="AP25" s="73">
        <f t="shared" si="4"/>
        <v>0.75</v>
      </c>
      <c r="AQ25" s="8">
        <v>58</v>
      </c>
      <c r="AR25" s="37" t="s">
        <v>153</v>
      </c>
      <c r="AS25" s="40" t="s">
        <v>170</v>
      </c>
      <c r="AT25" s="75">
        <v>2</v>
      </c>
      <c r="AU25" s="76">
        <v>0</v>
      </c>
      <c r="AV25" s="73">
        <v>0</v>
      </c>
      <c r="AW25" s="73" t="s">
        <v>197</v>
      </c>
      <c r="AX25" s="73">
        <v>2</v>
      </c>
      <c r="AY25" s="73">
        <v>0</v>
      </c>
      <c r="AZ25" s="73">
        <v>0</v>
      </c>
      <c r="BA25" s="73" t="s">
        <v>197</v>
      </c>
      <c r="BB25" s="73">
        <v>0</v>
      </c>
      <c r="BC25" s="73">
        <v>0</v>
      </c>
      <c r="BD25" s="73" t="s">
        <v>197</v>
      </c>
      <c r="BE25" s="73" t="s">
        <v>197</v>
      </c>
      <c r="BF25" s="73">
        <v>2</v>
      </c>
      <c r="BG25" s="73">
        <v>0</v>
      </c>
      <c r="BH25" s="73">
        <v>0</v>
      </c>
      <c r="BI25" s="73" t="s">
        <v>197</v>
      </c>
      <c r="BJ25" s="73">
        <f t="shared" si="5"/>
        <v>6</v>
      </c>
      <c r="BK25" s="73">
        <f t="shared" si="6"/>
        <v>4.5</v>
      </c>
      <c r="BL25" s="8"/>
      <c r="BM25" s="9"/>
      <c r="BN25" s="9"/>
      <c r="BO25" s="8"/>
      <c r="BP25" s="14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</row>
    <row r="26" spans="1:84" s="38" customFormat="1" ht="18.75" customHeight="1" x14ac:dyDescent="0.3">
      <c r="A26" s="8">
        <v>19</v>
      </c>
      <c r="B26" s="37" t="s">
        <v>95</v>
      </c>
      <c r="C26" s="40" t="s">
        <v>96</v>
      </c>
      <c r="D26" s="75">
        <v>1</v>
      </c>
      <c r="E26" s="76">
        <v>0.5</v>
      </c>
      <c r="F26" s="11">
        <v>0</v>
      </c>
      <c r="G26" s="73" t="s">
        <v>197</v>
      </c>
      <c r="H26" s="11">
        <v>0</v>
      </c>
      <c r="I26" s="11">
        <v>1</v>
      </c>
      <c r="J26" s="11">
        <v>0</v>
      </c>
      <c r="K26" s="73" t="s">
        <v>197</v>
      </c>
      <c r="L26" s="11">
        <v>0</v>
      </c>
      <c r="M26" s="11">
        <v>0</v>
      </c>
      <c r="N26" s="73" t="s">
        <v>197</v>
      </c>
      <c r="O26" s="73" t="s">
        <v>197</v>
      </c>
      <c r="P26" s="11">
        <v>0.5</v>
      </c>
      <c r="Q26" s="11">
        <v>0</v>
      </c>
      <c r="R26" s="11">
        <v>0</v>
      </c>
      <c r="S26" s="11"/>
      <c r="T26" s="11">
        <f t="shared" si="0"/>
        <v>3</v>
      </c>
      <c r="U26" s="11">
        <f t="shared" si="3"/>
        <v>2.25</v>
      </c>
      <c r="V26" s="8">
        <v>39</v>
      </c>
      <c r="W26" s="37" t="s">
        <v>115</v>
      </c>
      <c r="X26" s="40" t="s">
        <v>134</v>
      </c>
      <c r="Y26" s="75">
        <v>1</v>
      </c>
      <c r="Z26" s="76">
        <v>2.5</v>
      </c>
      <c r="AA26" s="73">
        <v>0</v>
      </c>
      <c r="AB26" s="73" t="s">
        <v>197</v>
      </c>
      <c r="AC26" s="73">
        <v>4.5</v>
      </c>
      <c r="AD26" s="73">
        <v>2</v>
      </c>
      <c r="AE26" s="73">
        <v>2</v>
      </c>
      <c r="AF26" s="73" t="s">
        <v>197</v>
      </c>
      <c r="AG26" s="73">
        <v>0</v>
      </c>
      <c r="AH26" s="73">
        <v>3</v>
      </c>
      <c r="AI26" s="73" t="s">
        <v>197</v>
      </c>
      <c r="AJ26" s="73" t="s">
        <v>197</v>
      </c>
      <c r="AK26" s="73">
        <v>2</v>
      </c>
      <c r="AL26" s="73">
        <v>0</v>
      </c>
      <c r="AM26" s="73">
        <v>0</v>
      </c>
      <c r="AN26" s="73" t="s">
        <v>197</v>
      </c>
      <c r="AO26" s="73">
        <f t="shared" si="1"/>
        <v>17</v>
      </c>
      <c r="AP26" s="73">
        <f t="shared" si="4"/>
        <v>12.75</v>
      </c>
      <c r="AQ26" s="8">
        <v>59</v>
      </c>
      <c r="AR26" s="37" t="s">
        <v>154</v>
      </c>
      <c r="AS26" s="40" t="s">
        <v>171</v>
      </c>
      <c r="AT26" s="75">
        <v>4</v>
      </c>
      <c r="AU26" s="76">
        <v>3</v>
      </c>
      <c r="AV26" s="73">
        <v>3</v>
      </c>
      <c r="AW26" s="73" t="s">
        <v>197</v>
      </c>
      <c r="AX26" s="73">
        <v>5</v>
      </c>
      <c r="AY26" s="73">
        <v>2</v>
      </c>
      <c r="AZ26" s="73">
        <v>3</v>
      </c>
      <c r="BA26" s="73" t="s">
        <v>197</v>
      </c>
      <c r="BB26" s="73">
        <v>4</v>
      </c>
      <c r="BC26" s="73">
        <v>6</v>
      </c>
      <c r="BD26" s="73" t="s">
        <v>197</v>
      </c>
      <c r="BE26" s="73" t="s">
        <v>197</v>
      </c>
      <c r="BF26" s="73">
        <v>2</v>
      </c>
      <c r="BG26" s="73">
        <v>4</v>
      </c>
      <c r="BH26" s="73">
        <v>4</v>
      </c>
      <c r="BI26" s="73" t="s">
        <v>197</v>
      </c>
      <c r="BJ26" s="73">
        <f t="shared" si="5"/>
        <v>40</v>
      </c>
      <c r="BK26" s="73">
        <f t="shared" si="6"/>
        <v>30</v>
      </c>
      <c r="BL26" s="8"/>
      <c r="BM26" s="9"/>
      <c r="BN26" s="9"/>
      <c r="BO26" s="8"/>
      <c r="BP26" s="14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</row>
    <row r="27" spans="1:84" s="38" customFormat="1" ht="18.75" customHeight="1" x14ac:dyDescent="0.3">
      <c r="A27" s="8">
        <v>20</v>
      </c>
      <c r="B27" s="37" t="s">
        <v>97</v>
      </c>
      <c r="C27" s="40" t="s">
        <v>194</v>
      </c>
      <c r="D27" s="73" t="s">
        <v>187</v>
      </c>
      <c r="E27" s="72" t="s">
        <v>187</v>
      </c>
      <c r="F27" s="11" t="s">
        <v>187</v>
      </c>
      <c r="G27" s="11" t="s">
        <v>187</v>
      </c>
      <c r="H27" s="11" t="s">
        <v>187</v>
      </c>
      <c r="I27" s="11" t="s">
        <v>187</v>
      </c>
      <c r="J27" s="11" t="s">
        <v>187</v>
      </c>
      <c r="K27" s="11" t="s">
        <v>187</v>
      </c>
      <c r="L27" s="11" t="s">
        <v>187</v>
      </c>
      <c r="M27" s="11" t="s">
        <v>187</v>
      </c>
      <c r="N27" s="11" t="s">
        <v>187</v>
      </c>
      <c r="O27" s="11" t="s">
        <v>187</v>
      </c>
      <c r="P27" s="11" t="s">
        <v>187</v>
      </c>
      <c r="Q27" s="11" t="s">
        <v>187</v>
      </c>
      <c r="R27" s="11" t="s">
        <v>187</v>
      </c>
      <c r="S27" s="11" t="s">
        <v>187</v>
      </c>
      <c r="T27" s="11">
        <f t="shared" si="0"/>
        <v>0</v>
      </c>
      <c r="U27" s="11">
        <f t="shared" si="3"/>
        <v>0</v>
      </c>
      <c r="V27" s="8">
        <v>40</v>
      </c>
      <c r="W27" s="37" t="s">
        <v>116</v>
      </c>
      <c r="X27" s="40" t="s">
        <v>135</v>
      </c>
      <c r="Y27" s="75">
        <v>0</v>
      </c>
      <c r="Z27" s="76">
        <v>0</v>
      </c>
      <c r="AA27" s="73">
        <v>0</v>
      </c>
      <c r="AB27" s="73" t="s">
        <v>197</v>
      </c>
      <c r="AC27" s="73">
        <v>0</v>
      </c>
      <c r="AD27" s="73">
        <v>0</v>
      </c>
      <c r="AE27" s="73">
        <v>0.5</v>
      </c>
      <c r="AF27" s="73" t="s">
        <v>197</v>
      </c>
      <c r="AG27" s="73">
        <v>0.5</v>
      </c>
      <c r="AH27" s="73">
        <v>0</v>
      </c>
      <c r="AI27" s="73" t="s">
        <v>197</v>
      </c>
      <c r="AJ27" s="73" t="s">
        <v>197</v>
      </c>
      <c r="AK27" s="73">
        <v>1</v>
      </c>
      <c r="AL27" s="73">
        <v>1</v>
      </c>
      <c r="AM27" s="73">
        <v>0</v>
      </c>
      <c r="AN27" s="73" t="s">
        <v>197</v>
      </c>
      <c r="AO27" s="73">
        <f t="shared" si="1"/>
        <v>3</v>
      </c>
      <c r="AP27" s="73">
        <f t="shared" si="4"/>
        <v>2.25</v>
      </c>
      <c r="AQ27" s="8">
        <v>60</v>
      </c>
      <c r="AR27" s="37" t="s">
        <v>155</v>
      </c>
      <c r="AS27" s="40" t="s">
        <v>172</v>
      </c>
      <c r="AT27" s="75">
        <v>0</v>
      </c>
      <c r="AU27" s="76">
        <v>0</v>
      </c>
      <c r="AV27" s="73">
        <v>0</v>
      </c>
      <c r="AW27" s="73" t="s">
        <v>197</v>
      </c>
      <c r="AX27" s="73">
        <v>1</v>
      </c>
      <c r="AY27" s="73">
        <v>0</v>
      </c>
      <c r="AZ27" s="73">
        <v>1</v>
      </c>
      <c r="BA27" s="73" t="s">
        <v>197</v>
      </c>
      <c r="BB27" s="73">
        <v>0</v>
      </c>
      <c r="BC27" s="73">
        <v>0</v>
      </c>
      <c r="BD27" s="73" t="s">
        <v>197</v>
      </c>
      <c r="BE27" s="73" t="s">
        <v>197</v>
      </c>
      <c r="BF27" s="73">
        <v>2</v>
      </c>
      <c r="BG27" s="73">
        <v>0</v>
      </c>
      <c r="BH27" s="73">
        <v>0</v>
      </c>
      <c r="BI27" s="73" t="s">
        <v>197</v>
      </c>
      <c r="BJ27" s="73">
        <f t="shared" si="5"/>
        <v>4</v>
      </c>
      <c r="BK27" s="73">
        <f t="shared" si="6"/>
        <v>3</v>
      </c>
      <c r="BL27" s="8"/>
      <c r="BM27" s="9"/>
      <c r="BN27" s="9"/>
      <c r="BO27" s="8"/>
      <c r="BP27" s="14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</row>
    <row r="28" spans="1:84" ht="30" customHeight="1" x14ac:dyDescent="0.3">
      <c r="A28" s="15"/>
      <c r="B28" s="16"/>
      <c r="C28" s="41"/>
      <c r="D28" s="15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5"/>
      <c r="W28" s="16"/>
      <c r="X28" s="41"/>
      <c r="Y28" s="15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5"/>
      <c r="AR28" s="16"/>
      <c r="AS28" s="16"/>
      <c r="AT28" s="15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5"/>
      <c r="BM28" s="16"/>
      <c r="BN28" s="16"/>
      <c r="BO28" s="15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</row>
    <row r="29" spans="1:84" ht="26.25" customHeight="1" x14ac:dyDescent="0.3">
      <c r="A29" s="44" t="s">
        <v>31</v>
      </c>
      <c r="B29" s="45"/>
      <c r="C29" s="45"/>
      <c r="F29" s="16"/>
      <c r="G29" s="16"/>
      <c r="H29" s="55" t="s">
        <v>60</v>
      </c>
      <c r="I29" s="55"/>
      <c r="J29" s="55"/>
      <c r="K29" s="55"/>
      <c r="L29" s="55"/>
      <c r="M29" s="55"/>
      <c r="N29" s="55"/>
      <c r="O29" s="16"/>
      <c r="P29" s="16"/>
      <c r="Q29" s="16"/>
      <c r="R29" s="16"/>
      <c r="S29" s="44" t="s">
        <v>32</v>
      </c>
      <c r="T29" s="45"/>
      <c r="U29" s="45"/>
      <c r="V29" s="44" t="s">
        <v>31</v>
      </c>
      <c r="W29" s="45"/>
      <c r="X29" s="45"/>
      <c r="AA29" s="16"/>
      <c r="AB29" s="16"/>
      <c r="AC29" s="55" t="s">
        <v>60</v>
      </c>
      <c r="AD29" s="55"/>
      <c r="AE29" s="55"/>
      <c r="AF29" s="55"/>
      <c r="AG29" s="55"/>
      <c r="AH29" s="55"/>
      <c r="AI29" s="55"/>
      <c r="AJ29" s="16"/>
      <c r="AK29" s="16"/>
      <c r="AL29" s="16"/>
      <c r="AM29" s="16"/>
      <c r="AN29" s="44" t="s">
        <v>32</v>
      </c>
      <c r="AO29" s="45"/>
      <c r="AP29" s="45"/>
      <c r="AQ29" s="44" t="s">
        <v>31</v>
      </c>
      <c r="AR29" s="45"/>
      <c r="AS29" s="45"/>
      <c r="AV29" s="16"/>
      <c r="AW29" s="16"/>
      <c r="AX29" s="55" t="s">
        <v>60</v>
      </c>
      <c r="AY29" s="55"/>
      <c r="AZ29" s="55"/>
      <c r="BA29" s="55"/>
      <c r="BB29" s="55"/>
      <c r="BC29" s="55"/>
      <c r="BD29" s="55"/>
      <c r="BE29" s="16"/>
      <c r="BF29" s="16"/>
      <c r="BG29" s="16"/>
      <c r="BH29" s="16"/>
      <c r="BI29" s="44" t="s">
        <v>32</v>
      </c>
      <c r="BJ29" s="45"/>
      <c r="BK29" s="45"/>
      <c r="BL29" s="44" t="s">
        <v>31</v>
      </c>
      <c r="BM29" s="45"/>
      <c r="BN29" s="45"/>
      <c r="BQ29" s="16"/>
      <c r="BR29" s="16"/>
      <c r="BS29" s="55" t="s">
        <v>60</v>
      </c>
      <c r="BT29" s="55"/>
      <c r="BU29" s="55"/>
      <c r="BV29" s="55"/>
      <c r="BW29" s="55"/>
      <c r="BX29" s="55"/>
      <c r="BY29" s="55"/>
      <c r="BZ29" s="16"/>
      <c r="CA29" s="16"/>
      <c r="CB29" s="16"/>
      <c r="CC29" s="16"/>
      <c r="CD29" s="44" t="s">
        <v>32</v>
      </c>
      <c r="CE29" s="45"/>
      <c r="CF29" s="45"/>
    </row>
    <row r="30" spans="1:84" ht="26.25" customHeight="1" x14ac:dyDescent="0.3"/>
    <row r="31" spans="1:84" ht="26.25" customHeight="1" x14ac:dyDescent="0.3"/>
    <row r="32" spans="1:84" ht="26.25" customHeight="1" x14ac:dyDescent="0.3"/>
    <row r="33" ht="26.25" customHeight="1" x14ac:dyDescent="0.3"/>
    <row r="34" ht="26.25" customHeight="1" x14ac:dyDescent="0.3"/>
    <row r="35" ht="26.25" customHeight="1" x14ac:dyDescent="0.3"/>
    <row r="36" ht="26.25" customHeight="1" x14ac:dyDescent="0.3"/>
    <row r="37" ht="26.25" customHeight="1" x14ac:dyDescent="0.3"/>
    <row r="38" ht="26.25" customHeight="1" x14ac:dyDescent="0.3"/>
    <row r="39" ht="26.25" customHeight="1" x14ac:dyDescent="0.3"/>
    <row r="40" ht="26.2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4">
    <mergeCell ref="CD29:CF29"/>
    <mergeCell ref="BL6:BM6"/>
    <mergeCell ref="BO6:BS6"/>
    <mergeCell ref="BT6:CB6"/>
    <mergeCell ref="BL29:BN29"/>
    <mergeCell ref="BS29:BY29"/>
    <mergeCell ref="BL1:CF1"/>
    <mergeCell ref="BL2:CF2"/>
    <mergeCell ref="BL3:CF3"/>
    <mergeCell ref="BL5:BM5"/>
    <mergeCell ref="BN5:BR5"/>
    <mergeCell ref="BS5:BU5"/>
    <mergeCell ref="BV5:BW5"/>
    <mergeCell ref="BX5:BZ5"/>
    <mergeCell ref="CA5:CB5"/>
    <mergeCell ref="CD5:CE5"/>
    <mergeCell ref="H29:N29"/>
    <mergeCell ref="AC29:AI29"/>
    <mergeCell ref="AX29:BD29"/>
    <mergeCell ref="P5:Q5"/>
    <mergeCell ref="S5:T5"/>
    <mergeCell ref="I6:Q6"/>
    <mergeCell ref="D6:H6"/>
    <mergeCell ref="Y6:AC6"/>
    <mergeCell ref="AD6:AL6"/>
    <mergeCell ref="AT6:AX6"/>
    <mergeCell ref="AY6:BG6"/>
    <mergeCell ref="AC5:AE5"/>
    <mergeCell ref="X5:AB5"/>
    <mergeCell ref="BA5:BB5"/>
    <mergeCell ref="BC5:BE5"/>
    <mergeCell ref="AX5:AZ5"/>
    <mergeCell ref="AN5:AO5"/>
    <mergeCell ref="AQ5:AR5"/>
    <mergeCell ref="A5:B5"/>
    <mergeCell ref="K5:L5"/>
    <mergeCell ref="M5:O5"/>
    <mergeCell ref="H5:J5"/>
    <mergeCell ref="C5:G5"/>
    <mergeCell ref="V3:AP3"/>
    <mergeCell ref="AQ3:BK3"/>
    <mergeCell ref="A1:U1"/>
    <mergeCell ref="V1:AP1"/>
    <mergeCell ref="AQ1:BK1"/>
    <mergeCell ref="A2:U2"/>
    <mergeCell ref="V2:AP2"/>
    <mergeCell ref="AQ2:BK2"/>
    <mergeCell ref="A3:U3"/>
    <mergeCell ref="AS5:AW5"/>
    <mergeCell ref="BI29:BK29"/>
    <mergeCell ref="A29:C29"/>
    <mergeCell ref="S29:U29"/>
    <mergeCell ref="V29:X29"/>
    <mergeCell ref="AN29:AP29"/>
    <mergeCell ref="AQ29:AS29"/>
    <mergeCell ref="BF5:BG5"/>
    <mergeCell ref="BI5:BJ5"/>
    <mergeCell ref="V5:W5"/>
    <mergeCell ref="AF5:AG5"/>
    <mergeCell ref="AH5:AJ5"/>
    <mergeCell ref="A6:B6"/>
    <mergeCell ref="V6:W6"/>
    <mergeCell ref="AQ6:AR6"/>
    <mergeCell ref="AK5:AL5"/>
  </mergeCells>
  <pageMargins left="0.2" right="0.2" top="0.25" bottom="0.25" header="0" footer="0"/>
  <pageSetup paperSize="9" scale="90" orientation="landscape" r:id="rId1"/>
  <headerFooter>
    <oddHeader>&amp;RIQAC, SCHOOL OF COMPUTER APPLICATIONS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1000"/>
  <sheetViews>
    <sheetView workbookViewId="0">
      <selection activeCell="G11" sqref="G11"/>
    </sheetView>
  </sheetViews>
  <sheetFormatPr defaultColWidth="14.44140625" defaultRowHeight="15" customHeight="1" x14ac:dyDescent="0.3"/>
  <cols>
    <col min="1" max="1" width="7.109375" customWidth="1"/>
    <col min="2" max="2" width="17.109375" customWidth="1"/>
    <col min="3" max="3" width="27.44140625" customWidth="1"/>
    <col min="4" max="4" width="16.5546875" customWidth="1"/>
    <col min="5" max="5" width="15.109375" customWidth="1"/>
    <col min="6" max="6" width="15" customWidth="1"/>
    <col min="7" max="7" width="11.44140625" customWidth="1"/>
    <col min="8" max="8" width="7.109375" customWidth="1"/>
    <col min="9" max="9" width="17.109375" customWidth="1"/>
    <col min="10" max="10" width="27.44140625" customWidth="1"/>
    <col min="11" max="11" width="16.5546875" customWidth="1"/>
    <col min="12" max="12" width="15.109375" customWidth="1"/>
    <col min="13" max="13" width="15" customWidth="1"/>
    <col min="14" max="14" width="11.44140625" customWidth="1"/>
    <col min="15" max="15" width="7.109375" customWidth="1"/>
    <col min="16" max="16" width="17.109375" customWidth="1"/>
    <col min="17" max="17" width="29.33203125" customWidth="1"/>
    <col min="18" max="18" width="15.6640625" customWidth="1"/>
    <col min="19" max="19" width="15.44140625" customWidth="1"/>
    <col min="20" max="20" width="15" customWidth="1"/>
    <col min="21" max="21" width="11.44140625" customWidth="1"/>
  </cols>
  <sheetData>
    <row r="1" spans="1:21" ht="29.25" customHeight="1" x14ac:dyDescent="0.3">
      <c r="A1" s="52" t="s">
        <v>0</v>
      </c>
      <c r="B1" s="45"/>
      <c r="C1" s="45"/>
      <c r="D1" s="45"/>
      <c r="E1" s="45"/>
      <c r="F1" s="45"/>
      <c r="G1" s="45"/>
      <c r="H1" s="52" t="s">
        <v>0</v>
      </c>
      <c r="I1" s="45"/>
      <c r="J1" s="45"/>
      <c r="K1" s="45"/>
      <c r="L1" s="45"/>
      <c r="M1" s="45"/>
      <c r="N1" s="45"/>
      <c r="O1" s="52" t="s">
        <v>0</v>
      </c>
      <c r="P1" s="45"/>
      <c r="Q1" s="45"/>
      <c r="R1" s="45"/>
      <c r="S1" s="45"/>
      <c r="T1" s="45"/>
      <c r="U1" s="45"/>
    </row>
    <row r="2" spans="1:21" ht="30" customHeight="1" x14ac:dyDescent="0.3">
      <c r="A2" s="53" t="s">
        <v>1</v>
      </c>
      <c r="B2" s="45"/>
      <c r="C2" s="45"/>
      <c r="D2" s="45"/>
      <c r="E2" s="45"/>
      <c r="F2" s="45"/>
      <c r="G2" s="45"/>
      <c r="H2" s="53" t="s">
        <v>1</v>
      </c>
      <c r="I2" s="45"/>
      <c r="J2" s="45"/>
      <c r="K2" s="45"/>
      <c r="L2" s="45"/>
      <c r="M2" s="45"/>
      <c r="N2" s="45"/>
      <c r="O2" s="53" t="s">
        <v>1</v>
      </c>
      <c r="P2" s="45"/>
      <c r="Q2" s="45"/>
      <c r="R2" s="45"/>
      <c r="S2" s="45"/>
      <c r="T2" s="45"/>
      <c r="U2" s="45"/>
    </row>
    <row r="3" spans="1:21" ht="26.25" customHeight="1" x14ac:dyDescent="0.3">
      <c r="A3" s="49" t="s">
        <v>33</v>
      </c>
      <c r="B3" s="50"/>
      <c r="C3" s="50"/>
      <c r="D3" s="50"/>
      <c r="E3" s="50"/>
      <c r="F3" s="50"/>
      <c r="G3" s="51"/>
      <c r="H3" s="49" t="s">
        <v>33</v>
      </c>
      <c r="I3" s="50"/>
      <c r="J3" s="50"/>
      <c r="K3" s="50"/>
      <c r="L3" s="50"/>
      <c r="M3" s="50"/>
      <c r="N3" s="51"/>
      <c r="O3" s="49" t="s">
        <v>33</v>
      </c>
      <c r="P3" s="50"/>
      <c r="Q3" s="50"/>
      <c r="R3" s="50"/>
      <c r="S3" s="50"/>
      <c r="T3" s="50"/>
      <c r="U3" s="51"/>
    </row>
    <row r="4" spans="1:21" ht="26.25" customHeight="1" x14ac:dyDescent="0.3">
      <c r="A4" s="59" t="s">
        <v>34</v>
      </c>
      <c r="B4" s="45"/>
      <c r="C4" s="17"/>
      <c r="D4" s="59" t="s">
        <v>35</v>
      </c>
      <c r="E4" s="45"/>
      <c r="F4" s="58"/>
      <c r="G4" s="46"/>
      <c r="H4" s="59" t="s">
        <v>34</v>
      </c>
      <c r="I4" s="45"/>
      <c r="J4" s="17"/>
      <c r="K4" s="59" t="s">
        <v>35</v>
      </c>
      <c r="L4" s="45"/>
      <c r="M4" s="58"/>
      <c r="N4" s="46"/>
      <c r="O4" s="59" t="s">
        <v>34</v>
      </c>
      <c r="P4" s="45"/>
      <c r="Q4" s="17"/>
      <c r="R4" s="59" t="s">
        <v>35</v>
      </c>
      <c r="S4" s="45"/>
      <c r="T4" s="58"/>
      <c r="U4" s="46"/>
    </row>
    <row r="5" spans="1:21" ht="26.25" customHeight="1" x14ac:dyDescent="0.3">
      <c r="A5" s="59" t="s">
        <v>36</v>
      </c>
      <c r="B5" s="45"/>
      <c r="C5" s="17"/>
      <c r="D5" s="59" t="s">
        <v>6</v>
      </c>
      <c r="E5" s="45"/>
      <c r="F5" s="58"/>
      <c r="G5" s="46"/>
      <c r="H5" s="59" t="s">
        <v>36</v>
      </c>
      <c r="I5" s="45"/>
      <c r="J5" s="17"/>
      <c r="K5" s="59" t="s">
        <v>6</v>
      </c>
      <c r="L5" s="45"/>
      <c r="M5" s="58"/>
      <c r="N5" s="46"/>
      <c r="O5" s="59" t="s">
        <v>36</v>
      </c>
      <c r="P5" s="45"/>
      <c r="Q5" s="17"/>
      <c r="R5" s="59" t="s">
        <v>6</v>
      </c>
      <c r="S5" s="45"/>
      <c r="T5" s="58"/>
      <c r="U5" s="46"/>
    </row>
    <row r="6" spans="1:21" ht="26.25" customHeight="1" x14ac:dyDescent="0.3">
      <c r="A6" s="59" t="s">
        <v>37</v>
      </c>
      <c r="B6" s="45"/>
      <c r="C6" s="17"/>
      <c r="D6" s="59" t="s">
        <v>38</v>
      </c>
      <c r="E6" s="45"/>
      <c r="F6" s="58"/>
      <c r="G6" s="46"/>
      <c r="H6" s="59" t="s">
        <v>37</v>
      </c>
      <c r="I6" s="45"/>
      <c r="J6" s="17"/>
      <c r="K6" s="59" t="s">
        <v>38</v>
      </c>
      <c r="L6" s="45"/>
      <c r="M6" s="58"/>
      <c r="N6" s="46"/>
      <c r="O6" s="59" t="s">
        <v>37</v>
      </c>
      <c r="P6" s="45"/>
      <c r="Q6" s="17"/>
      <c r="R6" s="59" t="s">
        <v>38</v>
      </c>
      <c r="S6" s="45"/>
      <c r="T6" s="58"/>
      <c r="U6" s="46"/>
    </row>
    <row r="7" spans="1:21" ht="26.25" customHeight="1" x14ac:dyDescent="0.3">
      <c r="A7" s="59" t="s">
        <v>39</v>
      </c>
      <c r="B7" s="45"/>
      <c r="C7" s="17"/>
      <c r="D7" s="61"/>
      <c r="E7" s="45"/>
      <c r="F7" s="61"/>
      <c r="G7" s="45"/>
      <c r="H7" s="59" t="s">
        <v>39</v>
      </c>
      <c r="I7" s="45"/>
      <c r="J7" s="17"/>
      <c r="K7" s="61"/>
      <c r="L7" s="45"/>
      <c r="M7" s="61"/>
      <c r="N7" s="45"/>
      <c r="O7" s="59" t="s">
        <v>39</v>
      </c>
      <c r="P7" s="45"/>
      <c r="Q7" s="17"/>
      <c r="R7" s="61"/>
      <c r="S7" s="45"/>
      <c r="T7" s="61"/>
      <c r="U7" s="45"/>
    </row>
    <row r="8" spans="1:21" ht="26.25" customHeight="1" x14ac:dyDescent="0.3">
      <c r="A8" s="59" t="s">
        <v>40</v>
      </c>
      <c r="B8" s="45"/>
      <c r="C8" s="58"/>
      <c r="D8" s="46"/>
      <c r="E8" s="46"/>
      <c r="F8" s="46"/>
      <c r="G8" s="46"/>
      <c r="H8" s="59" t="s">
        <v>40</v>
      </c>
      <c r="I8" s="45"/>
      <c r="J8" s="58"/>
      <c r="K8" s="46"/>
      <c r="L8" s="46"/>
      <c r="M8" s="46"/>
      <c r="N8" s="46"/>
      <c r="O8" s="59" t="s">
        <v>40</v>
      </c>
      <c r="P8" s="45"/>
      <c r="Q8" s="58"/>
      <c r="R8" s="46"/>
      <c r="S8" s="46"/>
      <c r="T8" s="46"/>
      <c r="U8" s="46"/>
    </row>
    <row r="9" spans="1:21" ht="11.25" customHeight="1" x14ac:dyDescent="0.3">
      <c r="A9" s="1"/>
      <c r="B9" s="2"/>
      <c r="C9" s="2"/>
      <c r="H9" s="1"/>
      <c r="I9" s="2"/>
      <c r="J9" s="2"/>
      <c r="O9" s="1"/>
      <c r="P9" s="2"/>
      <c r="Q9" s="2"/>
    </row>
    <row r="10" spans="1:21" ht="52.5" customHeight="1" x14ac:dyDescent="0.3">
      <c r="A10" s="6" t="s">
        <v>11</v>
      </c>
      <c r="B10" s="6" t="s">
        <v>12</v>
      </c>
      <c r="C10" s="7" t="s">
        <v>13</v>
      </c>
      <c r="D10" s="6" t="s">
        <v>41</v>
      </c>
      <c r="E10" s="6" t="s">
        <v>41</v>
      </c>
      <c r="F10" s="6" t="s">
        <v>41</v>
      </c>
      <c r="G10" s="6" t="s">
        <v>42</v>
      </c>
      <c r="H10" s="6" t="s">
        <v>11</v>
      </c>
      <c r="I10" s="6" t="s">
        <v>12</v>
      </c>
      <c r="J10" s="7" t="s">
        <v>13</v>
      </c>
      <c r="K10" s="6" t="s">
        <v>41</v>
      </c>
      <c r="L10" s="6" t="s">
        <v>41</v>
      </c>
      <c r="M10" s="6" t="s">
        <v>41</v>
      </c>
      <c r="N10" s="6" t="s">
        <v>42</v>
      </c>
      <c r="O10" s="6" t="s">
        <v>11</v>
      </c>
      <c r="P10" s="6" t="s">
        <v>12</v>
      </c>
      <c r="Q10" s="7" t="s">
        <v>13</v>
      </c>
      <c r="R10" s="6" t="s">
        <v>41</v>
      </c>
      <c r="S10" s="6" t="s">
        <v>41</v>
      </c>
      <c r="T10" s="6" t="s">
        <v>41</v>
      </c>
      <c r="U10" s="6" t="s">
        <v>42</v>
      </c>
    </row>
    <row r="11" spans="1:21" ht="22.5" customHeight="1" x14ac:dyDescent="0.3">
      <c r="A11" s="8">
        <v>1</v>
      </c>
      <c r="B11" s="9"/>
      <c r="C11" s="10"/>
      <c r="D11" s="18"/>
      <c r="E11" s="18"/>
      <c r="F11" s="18"/>
      <c r="G11" s="19">
        <f t="shared" ref="G11:G35" si="0">SUM(D11:F11)</f>
        <v>0</v>
      </c>
      <c r="H11" s="8">
        <v>26</v>
      </c>
      <c r="I11" s="9"/>
      <c r="J11" s="10"/>
      <c r="K11" s="18"/>
      <c r="L11" s="18"/>
      <c r="M11" s="18"/>
      <c r="N11" s="19">
        <f t="shared" ref="N11:N35" si="1">SUM(K11:M11)</f>
        <v>0</v>
      </c>
      <c r="O11" s="8">
        <v>51</v>
      </c>
      <c r="P11" s="9"/>
      <c r="Q11" s="10"/>
      <c r="R11" s="18"/>
      <c r="S11" s="18"/>
      <c r="T11" s="18"/>
      <c r="U11" s="19">
        <f t="shared" ref="U11:U35" si="2">SUM(R11:T11)</f>
        <v>0</v>
      </c>
    </row>
    <row r="12" spans="1:21" ht="22.5" customHeight="1" x14ac:dyDescent="0.3">
      <c r="A12" s="8">
        <v>2</v>
      </c>
      <c r="B12" s="9"/>
      <c r="C12" s="10"/>
      <c r="D12" s="18"/>
      <c r="E12" s="18"/>
      <c r="F12" s="18"/>
      <c r="G12" s="19">
        <f t="shared" si="0"/>
        <v>0</v>
      </c>
      <c r="H12" s="8">
        <v>27</v>
      </c>
      <c r="I12" s="9"/>
      <c r="J12" s="10"/>
      <c r="K12" s="18"/>
      <c r="L12" s="18"/>
      <c r="M12" s="18"/>
      <c r="N12" s="19">
        <f t="shared" si="1"/>
        <v>0</v>
      </c>
      <c r="O12" s="8">
        <v>52</v>
      </c>
      <c r="P12" s="9"/>
      <c r="Q12" s="10"/>
      <c r="R12" s="18"/>
      <c r="S12" s="18"/>
      <c r="T12" s="18"/>
      <c r="U12" s="19">
        <f t="shared" si="2"/>
        <v>0</v>
      </c>
    </row>
    <row r="13" spans="1:21" ht="22.5" customHeight="1" x14ac:dyDescent="0.3">
      <c r="A13" s="8">
        <v>3</v>
      </c>
      <c r="B13" s="9"/>
      <c r="C13" s="10"/>
      <c r="D13" s="18"/>
      <c r="E13" s="18"/>
      <c r="F13" s="18"/>
      <c r="G13" s="19">
        <f t="shared" si="0"/>
        <v>0</v>
      </c>
      <c r="H13" s="8">
        <v>28</v>
      </c>
      <c r="I13" s="9"/>
      <c r="J13" s="10"/>
      <c r="K13" s="18"/>
      <c r="L13" s="18"/>
      <c r="M13" s="18"/>
      <c r="N13" s="19">
        <f t="shared" si="1"/>
        <v>0</v>
      </c>
      <c r="O13" s="8">
        <v>53</v>
      </c>
      <c r="P13" s="9"/>
      <c r="Q13" s="10"/>
      <c r="R13" s="18"/>
      <c r="S13" s="18"/>
      <c r="T13" s="18"/>
      <c r="U13" s="19">
        <f t="shared" si="2"/>
        <v>0</v>
      </c>
    </row>
    <row r="14" spans="1:21" ht="22.5" customHeight="1" x14ac:dyDescent="0.3">
      <c r="A14" s="8">
        <v>4</v>
      </c>
      <c r="B14" s="9"/>
      <c r="C14" s="10"/>
      <c r="D14" s="18"/>
      <c r="E14" s="18"/>
      <c r="F14" s="18"/>
      <c r="G14" s="19">
        <f t="shared" si="0"/>
        <v>0</v>
      </c>
      <c r="H14" s="8">
        <v>29</v>
      </c>
      <c r="I14" s="9"/>
      <c r="J14" s="10"/>
      <c r="K14" s="18"/>
      <c r="L14" s="18"/>
      <c r="M14" s="18"/>
      <c r="N14" s="19">
        <f t="shared" si="1"/>
        <v>0</v>
      </c>
      <c r="O14" s="8">
        <v>54</v>
      </c>
      <c r="P14" s="9"/>
      <c r="Q14" s="10"/>
      <c r="R14" s="18"/>
      <c r="S14" s="18"/>
      <c r="T14" s="18"/>
      <c r="U14" s="19">
        <f t="shared" si="2"/>
        <v>0</v>
      </c>
    </row>
    <row r="15" spans="1:21" ht="22.5" customHeight="1" x14ac:dyDescent="0.3">
      <c r="A15" s="8">
        <v>5</v>
      </c>
      <c r="B15" s="9"/>
      <c r="C15" s="10"/>
      <c r="D15" s="18"/>
      <c r="E15" s="18"/>
      <c r="F15" s="18"/>
      <c r="G15" s="19">
        <f t="shared" si="0"/>
        <v>0</v>
      </c>
      <c r="H15" s="8">
        <v>30</v>
      </c>
      <c r="I15" s="9"/>
      <c r="J15" s="10"/>
      <c r="K15" s="18"/>
      <c r="L15" s="18"/>
      <c r="M15" s="18"/>
      <c r="N15" s="19">
        <f t="shared" si="1"/>
        <v>0</v>
      </c>
      <c r="O15" s="8">
        <v>55</v>
      </c>
      <c r="P15" s="9"/>
      <c r="Q15" s="10"/>
      <c r="R15" s="18"/>
      <c r="S15" s="18"/>
      <c r="T15" s="18"/>
      <c r="U15" s="19">
        <f t="shared" si="2"/>
        <v>0</v>
      </c>
    </row>
    <row r="16" spans="1:21" ht="22.5" customHeight="1" x14ac:dyDescent="0.3">
      <c r="A16" s="8">
        <v>6</v>
      </c>
      <c r="B16" s="9"/>
      <c r="C16" s="10"/>
      <c r="D16" s="18"/>
      <c r="E16" s="18"/>
      <c r="F16" s="18"/>
      <c r="G16" s="19">
        <f t="shared" si="0"/>
        <v>0</v>
      </c>
      <c r="H16" s="8">
        <v>31</v>
      </c>
      <c r="I16" s="9"/>
      <c r="J16" s="10"/>
      <c r="K16" s="18"/>
      <c r="L16" s="18"/>
      <c r="M16" s="18"/>
      <c r="N16" s="19">
        <f t="shared" si="1"/>
        <v>0</v>
      </c>
      <c r="O16" s="8">
        <v>56</v>
      </c>
      <c r="P16" s="9"/>
      <c r="Q16" s="10"/>
      <c r="R16" s="18"/>
      <c r="S16" s="18"/>
      <c r="T16" s="18"/>
      <c r="U16" s="19">
        <f t="shared" si="2"/>
        <v>0</v>
      </c>
    </row>
    <row r="17" spans="1:21" ht="22.5" customHeight="1" x14ac:dyDescent="0.3">
      <c r="A17" s="8">
        <v>7</v>
      </c>
      <c r="B17" s="9"/>
      <c r="C17" s="10"/>
      <c r="D17" s="18"/>
      <c r="E17" s="18"/>
      <c r="F17" s="18"/>
      <c r="G17" s="19">
        <f t="shared" si="0"/>
        <v>0</v>
      </c>
      <c r="H17" s="8">
        <v>32</v>
      </c>
      <c r="I17" s="9"/>
      <c r="J17" s="10"/>
      <c r="K17" s="18"/>
      <c r="L17" s="18"/>
      <c r="M17" s="18"/>
      <c r="N17" s="19">
        <f t="shared" si="1"/>
        <v>0</v>
      </c>
      <c r="O17" s="8">
        <v>57</v>
      </c>
      <c r="P17" s="9"/>
      <c r="Q17" s="10"/>
      <c r="R17" s="18"/>
      <c r="S17" s="18"/>
      <c r="T17" s="18"/>
      <c r="U17" s="19">
        <f t="shared" si="2"/>
        <v>0</v>
      </c>
    </row>
    <row r="18" spans="1:21" ht="22.5" customHeight="1" x14ac:dyDescent="0.3">
      <c r="A18" s="8">
        <v>8</v>
      </c>
      <c r="B18" s="9"/>
      <c r="C18" s="10"/>
      <c r="D18" s="18"/>
      <c r="E18" s="18"/>
      <c r="F18" s="18"/>
      <c r="G18" s="19">
        <f t="shared" si="0"/>
        <v>0</v>
      </c>
      <c r="H18" s="8">
        <v>33</v>
      </c>
      <c r="I18" s="9"/>
      <c r="J18" s="10"/>
      <c r="K18" s="18"/>
      <c r="L18" s="18"/>
      <c r="M18" s="18"/>
      <c r="N18" s="19">
        <f t="shared" si="1"/>
        <v>0</v>
      </c>
      <c r="O18" s="8">
        <v>58</v>
      </c>
      <c r="P18" s="9"/>
      <c r="Q18" s="10"/>
      <c r="R18" s="18"/>
      <c r="S18" s="18"/>
      <c r="T18" s="18"/>
      <c r="U18" s="19">
        <f t="shared" si="2"/>
        <v>0</v>
      </c>
    </row>
    <row r="19" spans="1:21" ht="22.5" customHeight="1" x14ac:dyDescent="0.3">
      <c r="A19" s="8">
        <v>9</v>
      </c>
      <c r="B19" s="9"/>
      <c r="C19" s="10"/>
      <c r="D19" s="18"/>
      <c r="E19" s="18"/>
      <c r="F19" s="18"/>
      <c r="G19" s="19">
        <f t="shared" si="0"/>
        <v>0</v>
      </c>
      <c r="H19" s="8">
        <v>34</v>
      </c>
      <c r="I19" s="9"/>
      <c r="J19" s="10"/>
      <c r="K19" s="18"/>
      <c r="L19" s="18"/>
      <c r="M19" s="18"/>
      <c r="N19" s="19">
        <f t="shared" si="1"/>
        <v>0</v>
      </c>
      <c r="O19" s="8">
        <v>59</v>
      </c>
      <c r="P19" s="9"/>
      <c r="Q19" s="10"/>
      <c r="R19" s="18"/>
      <c r="S19" s="18"/>
      <c r="T19" s="18"/>
      <c r="U19" s="19">
        <f t="shared" si="2"/>
        <v>0</v>
      </c>
    </row>
    <row r="20" spans="1:21" ht="22.5" customHeight="1" x14ac:dyDescent="0.3">
      <c r="A20" s="8">
        <v>10</v>
      </c>
      <c r="B20" s="9"/>
      <c r="C20" s="10"/>
      <c r="D20" s="18"/>
      <c r="E20" s="18"/>
      <c r="F20" s="18"/>
      <c r="G20" s="19">
        <f t="shared" si="0"/>
        <v>0</v>
      </c>
      <c r="H20" s="8">
        <v>35</v>
      </c>
      <c r="I20" s="9"/>
      <c r="J20" s="10"/>
      <c r="K20" s="18"/>
      <c r="L20" s="18"/>
      <c r="M20" s="18"/>
      <c r="N20" s="19">
        <f t="shared" si="1"/>
        <v>0</v>
      </c>
      <c r="O20" s="8">
        <v>60</v>
      </c>
      <c r="P20" s="9"/>
      <c r="Q20" s="10"/>
      <c r="R20" s="18"/>
      <c r="S20" s="18"/>
      <c r="T20" s="18"/>
      <c r="U20" s="19">
        <f t="shared" si="2"/>
        <v>0</v>
      </c>
    </row>
    <row r="21" spans="1:21" ht="22.5" customHeight="1" x14ac:dyDescent="0.3">
      <c r="A21" s="8">
        <v>11</v>
      </c>
      <c r="B21" s="9"/>
      <c r="C21" s="10"/>
      <c r="D21" s="18"/>
      <c r="E21" s="18"/>
      <c r="F21" s="18"/>
      <c r="G21" s="19">
        <f t="shared" si="0"/>
        <v>0</v>
      </c>
      <c r="H21" s="8">
        <v>36</v>
      </c>
      <c r="I21" s="9"/>
      <c r="J21" s="10"/>
      <c r="K21" s="18"/>
      <c r="L21" s="18"/>
      <c r="M21" s="18"/>
      <c r="N21" s="19">
        <f t="shared" si="1"/>
        <v>0</v>
      </c>
      <c r="O21" s="8">
        <v>61</v>
      </c>
      <c r="P21" s="9"/>
      <c r="Q21" s="10"/>
      <c r="R21" s="18"/>
      <c r="S21" s="18"/>
      <c r="T21" s="18"/>
      <c r="U21" s="19">
        <f t="shared" si="2"/>
        <v>0</v>
      </c>
    </row>
    <row r="22" spans="1:21" ht="22.5" customHeight="1" x14ac:dyDescent="0.3">
      <c r="A22" s="8">
        <v>12</v>
      </c>
      <c r="B22" s="9"/>
      <c r="C22" s="10"/>
      <c r="D22" s="18"/>
      <c r="E22" s="18"/>
      <c r="F22" s="18"/>
      <c r="G22" s="19">
        <f t="shared" si="0"/>
        <v>0</v>
      </c>
      <c r="H22" s="8">
        <v>37</v>
      </c>
      <c r="I22" s="9"/>
      <c r="J22" s="10"/>
      <c r="K22" s="18"/>
      <c r="L22" s="18"/>
      <c r="M22" s="18"/>
      <c r="N22" s="19">
        <f t="shared" si="1"/>
        <v>0</v>
      </c>
      <c r="O22" s="8">
        <v>62</v>
      </c>
      <c r="P22" s="9"/>
      <c r="Q22" s="10"/>
      <c r="R22" s="18"/>
      <c r="S22" s="18"/>
      <c r="T22" s="18"/>
      <c r="U22" s="19">
        <f t="shared" si="2"/>
        <v>0</v>
      </c>
    </row>
    <row r="23" spans="1:21" ht="22.5" customHeight="1" x14ac:dyDescent="0.3">
      <c r="A23" s="8">
        <v>13</v>
      </c>
      <c r="B23" s="9"/>
      <c r="C23" s="10"/>
      <c r="D23" s="18"/>
      <c r="E23" s="18"/>
      <c r="F23" s="18"/>
      <c r="G23" s="19">
        <f t="shared" si="0"/>
        <v>0</v>
      </c>
      <c r="H23" s="8">
        <v>38</v>
      </c>
      <c r="I23" s="9"/>
      <c r="J23" s="10"/>
      <c r="K23" s="18"/>
      <c r="L23" s="18"/>
      <c r="M23" s="18"/>
      <c r="N23" s="19">
        <f t="shared" si="1"/>
        <v>0</v>
      </c>
      <c r="O23" s="8">
        <v>63</v>
      </c>
      <c r="P23" s="9"/>
      <c r="Q23" s="10"/>
      <c r="R23" s="18"/>
      <c r="S23" s="18"/>
      <c r="T23" s="18"/>
      <c r="U23" s="19">
        <f t="shared" si="2"/>
        <v>0</v>
      </c>
    </row>
    <row r="24" spans="1:21" ht="22.5" customHeight="1" x14ac:dyDescent="0.3">
      <c r="A24" s="8">
        <v>14</v>
      </c>
      <c r="B24" s="9"/>
      <c r="C24" s="10"/>
      <c r="D24" s="18"/>
      <c r="E24" s="18"/>
      <c r="F24" s="18"/>
      <c r="G24" s="19">
        <f t="shared" si="0"/>
        <v>0</v>
      </c>
      <c r="H24" s="8">
        <v>39</v>
      </c>
      <c r="I24" s="9"/>
      <c r="J24" s="10"/>
      <c r="K24" s="18"/>
      <c r="L24" s="18"/>
      <c r="M24" s="18"/>
      <c r="N24" s="19">
        <f t="shared" si="1"/>
        <v>0</v>
      </c>
      <c r="O24" s="8">
        <v>64</v>
      </c>
      <c r="P24" s="9"/>
      <c r="Q24" s="10"/>
      <c r="R24" s="18"/>
      <c r="S24" s="18"/>
      <c r="T24" s="18"/>
      <c r="U24" s="19">
        <f t="shared" si="2"/>
        <v>0</v>
      </c>
    </row>
    <row r="25" spans="1:21" ht="22.5" customHeight="1" x14ac:dyDescent="0.3">
      <c r="A25" s="8">
        <v>15</v>
      </c>
      <c r="B25" s="9"/>
      <c r="C25" s="10"/>
      <c r="D25" s="18"/>
      <c r="E25" s="18"/>
      <c r="F25" s="18"/>
      <c r="G25" s="19">
        <f t="shared" si="0"/>
        <v>0</v>
      </c>
      <c r="H25" s="8">
        <v>40</v>
      </c>
      <c r="I25" s="9"/>
      <c r="J25" s="10"/>
      <c r="K25" s="18"/>
      <c r="L25" s="18"/>
      <c r="M25" s="18"/>
      <c r="N25" s="19">
        <f t="shared" si="1"/>
        <v>0</v>
      </c>
      <c r="O25" s="8">
        <v>65</v>
      </c>
      <c r="P25" s="9"/>
      <c r="Q25" s="10"/>
      <c r="R25" s="18"/>
      <c r="S25" s="18"/>
      <c r="T25" s="18"/>
      <c r="U25" s="19">
        <f t="shared" si="2"/>
        <v>0</v>
      </c>
    </row>
    <row r="26" spans="1:21" ht="22.5" customHeight="1" x14ac:dyDescent="0.3">
      <c r="A26" s="8">
        <v>16</v>
      </c>
      <c r="B26" s="9"/>
      <c r="C26" s="10"/>
      <c r="D26" s="18"/>
      <c r="E26" s="18"/>
      <c r="F26" s="18"/>
      <c r="G26" s="19">
        <f t="shared" si="0"/>
        <v>0</v>
      </c>
      <c r="H26" s="8">
        <v>41</v>
      </c>
      <c r="I26" s="9"/>
      <c r="J26" s="10"/>
      <c r="K26" s="18"/>
      <c r="L26" s="18"/>
      <c r="M26" s="18"/>
      <c r="N26" s="19">
        <f t="shared" si="1"/>
        <v>0</v>
      </c>
      <c r="O26" s="8">
        <v>66</v>
      </c>
      <c r="P26" s="9"/>
      <c r="Q26" s="10"/>
      <c r="R26" s="18"/>
      <c r="S26" s="18"/>
      <c r="T26" s="18"/>
      <c r="U26" s="19">
        <f t="shared" si="2"/>
        <v>0</v>
      </c>
    </row>
    <row r="27" spans="1:21" ht="22.5" customHeight="1" x14ac:dyDescent="0.3">
      <c r="A27" s="8">
        <v>17</v>
      </c>
      <c r="B27" s="9"/>
      <c r="C27" s="10"/>
      <c r="D27" s="18"/>
      <c r="E27" s="18"/>
      <c r="F27" s="18"/>
      <c r="G27" s="19">
        <f t="shared" si="0"/>
        <v>0</v>
      </c>
      <c r="H27" s="8">
        <v>42</v>
      </c>
      <c r="I27" s="9"/>
      <c r="J27" s="10"/>
      <c r="K27" s="18"/>
      <c r="L27" s="18"/>
      <c r="M27" s="18"/>
      <c r="N27" s="19">
        <f t="shared" si="1"/>
        <v>0</v>
      </c>
      <c r="O27" s="8">
        <v>67</v>
      </c>
      <c r="P27" s="9"/>
      <c r="Q27" s="10"/>
      <c r="R27" s="18"/>
      <c r="S27" s="18"/>
      <c r="T27" s="18"/>
      <c r="U27" s="19">
        <f t="shared" si="2"/>
        <v>0</v>
      </c>
    </row>
    <row r="28" spans="1:21" ht="22.5" customHeight="1" x14ac:dyDescent="0.3">
      <c r="A28" s="8">
        <v>18</v>
      </c>
      <c r="B28" s="9"/>
      <c r="C28" s="10"/>
      <c r="D28" s="18"/>
      <c r="E28" s="18"/>
      <c r="F28" s="18"/>
      <c r="G28" s="19">
        <f t="shared" si="0"/>
        <v>0</v>
      </c>
      <c r="H28" s="8">
        <v>43</v>
      </c>
      <c r="I28" s="9"/>
      <c r="J28" s="10"/>
      <c r="K28" s="18"/>
      <c r="L28" s="18"/>
      <c r="M28" s="18"/>
      <c r="N28" s="19">
        <f t="shared" si="1"/>
        <v>0</v>
      </c>
      <c r="O28" s="8">
        <v>68</v>
      </c>
      <c r="P28" s="9"/>
      <c r="Q28" s="10"/>
      <c r="R28" s="18"/>
      <c r="S28" s="18"/>
      <c r="T28" s="18"/>
      <c r="U28" s="19">
        <f t="shared" si="2"/>
        <v>0</v>
      </c>
    </row>
    <row r="29" spans="1:21" ht="22.5" customHeight="1" x14ac:dyDescent="0.3">
      <c r="A29" s="8">
        <v>19</v>
      </c>
      <c r="B29" s="9"/>
      <c r="C29" s="10"/>
      <c r="D29" s="18"/>
      <c r="E29" s="18"/>
      <c r="F29" s="18"/>
      <c r="G29" s="19">
        <f t="shared" si="0"/>
        <v>0</v>
      </c>
      <c r="H29" s="8">
        <v>44</v>
      </c>
      <c r="I29" s="9"/>
      <c r="J29" s="10"/>
      <c r="K29" s="18"/>
      <c r="L29" s="18"/>
      <c r="M29" s="18"/>
      <c r="N29" s="19">
        <f t="shared" si="1"/>
        <v>0</v>
      </c>
      <c r="O29" s="8">
        <v>69</v>
      </c>
      <c r="P29" s="9"/>
      <c r="Q29" s="10"/>
      <c r="R29" s="18"/>
      <c r="S29" s="18"/>
      <c r="T29" s="18"/>
      <c r="U29" s="19">
        <f t="shared" si="2"/>
        <v>0</v>
      </c>
    </row>
    <row r="30" spans="1:21" ht="22.5" customHeight="1" x14ac:dyDescent="0.3">
      <c r="A30" s="8">
        <v>20</v>
      </c>
      <c r="B30" s="9"/>
      <c r="C30" s="10"/>
      <c r="D30" s="18"/>
      <c r="E30" s="18"/>
      <c r="F30" s="18"/>
      <c r="G30" s="19">
        <f t="shared" si="0"/>
        <v>0</v>
      </c>
      <c r="H30" s="8">
        <v>45</v>
      </c>
      <c r="I30" s="9"/>
      <c r="J30" s="10"/>
      <c r="K30" s="18"/>
      <c r="L30" s="18"/>
      <c r="M30" s="18"/>
      <c r="N30" s="19">
        <f t="shared" si="1"/>
        <v>0</v>
      </c>
      <c r="O30" s="8">
        <v>70</v>
      </c>
      <c r="P30" s="9"/>
      <c r="Q30" s="10"/>
      <c r="R30" s="18"/>
      <c r="S30" s="18"/>
      <c r="T30" s="18"/>
      <c r="U30" s="19">
        <f t="shared" si="2"/>
        <v>0</v>
      </c>
    </row>
    <row r="31" spans="1:21" ht="22.5" customHeight="1" x14ac:dyDescent="0.3">
      <c r="A31" s="8">
        <v>21</v>
      </c>
      <c r="B31" s="9"/>
      <c r="C31" s="10"/>
      <c r="D31" s="18"/>
      <c r="E31" s="18"/>
      <c r="F31" s="18"/>
      <c r="G31" s="19">
        <f t="shared" si="0"/>
        <v>0</v>
      </c>
      <c r="H31" s="8">
        <v>46</v>
      </c>
      <c r="I31" s="9"/>
      <c r="J31" s="10"/>
      <c r="K31" s="18"/>
      <c r="L31" s="18"/>
      <c r="M31" s="18"/>
      <c r="N31" s="19">
        <f t="shared" si="1"/>
        <v>0</v>
      </c>
      <c r="O31" s="8">
        <v>71</v>
      </c>
      <c r="P31" s="9"/>
      <c r="Q31" s="10"/>
      <c r="R31" s="18"/>
      <c r="S31" s="18"/>
      <c r="T31" s="18"/>
      <c r="U31" s="19">
        <f t="shared" si="2"/>
        <v>0</v>
      </c>
    </row>
    <row r="32" spans="1:21" ht="22.5" customHeight="1" x14ac:dyDescent="0.3">
      <c r="A32" s="8">
        <v>22</v>
      </c>
      <c r="B32" s="9"/>
      <c r="C32" s="10"/>
      <c r="D32" s="18"/>
      <c r="E32" s="18"/>
      <c r="F32" s="18"/>
      <c r="G32" s="19">
        <f t="shared" si="0"/>
        <v>0</v>
      </c>
      <c r="H32" s="8">
        <v>47</v>
      </c>
      <c r="I32" s="9"/>
      <c r="J32" s="10"/>
      <c r="K32" s="18"/>
      <c r="L32" s="18"/>
      <c r="M32" s="18"/>
      <c r="N32" s="19">
        <f t="shared" si="1"/>
        <v>0</v>
      </c>
      <c r="O32" s="8">
        <v>72</v>
      </c>
      <c r="P32" s="9"/>
      <c r="Q32" s="10"/>
      <c r="R32" s="18"/>
      <c r="S32" s="18"/>
      <c r="T32" s="18"/>
      <c r="U32" s="19">
        <f t="shared" si="2"/>
        <v>0</v>
      </c>
    </row>
    <row r="33" spans="1:21" ht="22.5" customHeight="1" x14ac:dyDescent="0.3">
      <c r="A33" s="8">
        <v>23</v>
      </c>
      <c r="B33" s="9"/>
      <c r="C33" s="10"/>
      <c r="D33" s="18"/>
      <c r="E33" s="18"/>
      <c r="F33" s="18"/>
      <c r="G33" s="19">
        <f t="shared" si="0"/>
        <v>0</v>
      </c>
      <c r="H33" s="8">
        <v>48</v>
      </c>
      <c r="I33" s="9"/>
      <c r="J33" s="10"/>
      <c r="K33" s="18"/>
      <c r="L33" s="18"/>
      <c r="M33" s="18"/>
      <c r="N33" s="19">
        <f t="shared" si="1"/>
        <v>0</v>
      </c>
      <c r="O33" s="8">
        <v>73</v>
      </c>
      <c r="P33" s="9"/>
      <c r="Q33" s="10"/>
      <c r="R33" s="18"/>
      <c r="S33" s="18"/>
      <c r="T33" s="18"/>
      <c r="U33" s="19">
        <f t="shared" si="2"/>
        <v>0</v>
      </c>
    </row>
    <row r="34" spans="1:21" ht="22.5" customHeight="1" x14ac:dyDescent="0.3">
      <c r="A34" s="8">
        <v>24</v>
      </c>
      <c r="B34" s="9"/>
      <c r="C34" s="10"/>
      <c r="D34" s="18"/>
      <c r="E34" s="18"/>
      <c r="F34" s="18"/>
      <c r="G34" s="19">
        <f t="shared" si="0"/>
        <v>0</v>
      </c>
      <c r="H34" s="8">
        <v>49</v>
      </c>
      <c r="I34" s="9"/>
      <c r="J34" s="10"/>
      <c r="K34" s="18"/>
      <c r="L34" s="18"/>
      <c r="M34" s="18"/>
      <c r="N34" s="19">
        <f t="shared" si="1"/>
        <v>0</v>
      </c>
      <c r="O34" s="8">
        <v>74</v>
      </c>
      <c r="P34" s="9"/>
      <c r="Q34" s="10"/>
      <c r="R34" s="18"/>
      <c r="S34" s="18"/>
      <c r="T34" s="18"/>
      <c r="U34" s="19">
        <f t="shared" si="2"/>
        <v>0</v>
      </c>
    </row>
    <row r="35" spans="1:21" ht="22.5" customHeight="1" x14ac:dyDescent="0.3">
      <c r="A35" s="8">
        <v>25</v>
      </c>
      <c r="B35" s="9"/>
      <c r="C35" s="10"/>
      <c r="D35" s="18"/>
      <c r="E35" s="18"/>
      <c r="F35" s="18"/>
      <c r="G35" s="19">
        <f t="shared" si="0"/>
        <v>0</v>
      </c>
      <c r="H35" s="8">
        <v>50</v>
      </c>
      <c r="I35" s="9"/>
      <c r="J35" s="10"/>
      <c r="K35" s="18"/>
      <c r="L35" s="18"/>
      <c r="M35" s="18"/>
      <c r="N35" s="19">
        <f t="shared" si="1"/>
        <v>0</v>
      </c>
      <c r="O35" s="8">
        <v>75</v>
      </c>
      <c r="P35" s="9"/>
      <c r="Q35" s="10"/>
      <c r="R35" s="18"/>
      <c r="S35" s="18"/>
      <c r="T35" s="18"/>
      <c r="U35" s="19">
        <f t="shared" si="2"/>
        <v>0</v>
      </c>
    </row>
    <row r="36" spans="1:21" ht="26.25" customHeight="1" x14ac:dyDescent="0.3"/>
    <row r="37" spans="1:21" ht="26.25" customHeight="1" x14ac:dyDescent="0.3"/>
    <row r="38" spans="1:21" ht="26.25" customHeight="1" x14ac:dyDescent="0.3">
      <c r="A38" s="44" t="s">
        <v>31</v>
      </c>
      <c r="B38" s="45"/>
      <c r="C38" s="62" t="s">
        <v>61</v>
      </c>
      <c r="D38" s="62"/>
      <c r="E38" s="62"/>
      <c r="F38" s="60" t="s">
        <v>32</v>
      </c>
      <c r="G38" s="45"/>
      <c r="H38" s="44" t="s">
        <v>31</v>
      </c>
      <c r="I38" s="45"/>
      <c r="J38" s="62" t="s">
        <v>61</v>
      </c>
      <c r="K38" s="62"/>
      <c r="L38" s="62"/>
      <c r="M38" s="60" t="s">
        <v>32</v>
      </c>
      <c r="N38" s="45"/>
      <c r="O38" s="44" t="s">
        <v>31</v>
      </c>
      <c r="P38" s="45"/>
      <c r="Q38" s="62" t="s">
        <v>61</v>
      </c>
      <c r="R38" s="62"/>
      <c r="S38" s="62"/>
      <c r="T38" s="60" t="s">
        <v>32</v>
      </c>
      <c r="U38" s="45"/>
    </row>
    <row r="39" spans="1:21" ht="26.25" customHeight="1" x14ac:dyDescent="0.3"/>
    <row r="40" spans="1:21" ht="26.25" customHeight="1" x14ac:dyDescent="0.3"/>
    <row r="41" spans="1:21" ht="26.25" customHeight="1" x14ac:dyDescent="0.3"/>
    <row r="42" spans="1:21" ht="26.25" customHeight="1" x14ac:dyDescent="0.3"/>
    <row r="43" spans="1:21" ht="15.75" customHeight="1" x14ac:dyDescent="0.3"/>
    <row r="44" spans="1:21" ht="15.75" customHeight="1" x14ac:dyDescent="0.3"/>
    <row r="45" spans="1:21" ht="15.75" customHeight="1" x14ac:dyDescent="0.3"/>
    <row r="46" spans="1:21" ht="15.75" customHeight="1" x14ac:dyDescent="0.3"/>
    <row r="47" spans="1:21" ht="15.75" customHeight="1" x14ac:dyDescent="0.3"/>
    <row r="48" spans="1:2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0">
    <mergeCell ref="T38:U38"/>
    <mergeCell ref="O6:P6"/>
    <mergeCell ref="K7:L7"/>
    <mergeCell ref="O7:P7"/>
    <mergeCell ref="O38:P38"/>
    <mergeCell ref="T7:U7"/>
    <mergeCell ref="Q8:U8"/>
    <mergeCell ref="R7:S7"/>
    <mergeCell ref="Q38:S38"/>
    <mergeCell ref="J38:L38"/>
    <mergeCell ref="H7:I7"/>
    <mergeCell ref="H8:I8"/>
    <mergeCell ref="A4:B4"/>
    <mergeCell ref="F4:G4"/>
    <mergeCell ref="H4:I4"/>
    <mergeCell ref="A5:B5"/>
    <mergeCell ref="C8:G8"/>
    <mergeCell ref="A8:B8"/>
    <mergeCell ref="A3:G3"/>
    <mergeCell ref="F5:G5"/>
    <mergeCell ref="H5:I5"/>
    <mergeCell ref="F6:G6"/>
    <mergeCell ref="H6:I6"/>
    <mergeCell ref="A1:G1"/>
    <mergeCell ref="H1:N1"/>
    <mergeCell ref="O1:U1"/>
    <mergeCell ref="A2:G2"/>
    <mergeCell ref="H2:N2"/>
    <mergeCell ref="O2:U2"/>
    <mergeCell ref="H38:I38"/>
    <mergeCell ref="M38:N38"/>
    <mergeCell ref="H3:N3"/>
    <mergeCell ref="O3:U3"/>
    <mergeCell ref="K4:L4"/>
    <mergeCell ref="M4:N4"/>
    <mergeCell ref="O4:P4"/>
    <mergeCell ref="O5:P5"/>
    <mergeCell ref="M7:N7"/>
    <mergeCell ref="J8:N8"/>
    <mergeCell ref="O8:P8"/>
    <mergeCell ref="K5:L5"/>
    <mergeCell ref="M5:N5"/>
    <mergeCell ref="K6:L6"/>
    <mergeCell ref="M6:N6"/>
    <mergeCell ref="R4:S4"/>
    <mergeCell ref="A38:B38"/>
    <mergeCell ref="F38:G38"/>
    <mergeCell ref="D4:E4"/>
    <mergeCell ref="D5:E5"/>
    <mergeCell ref="A6:B6"/>
    <mergeCell ref="D6:E6"/>
    <mergeCell ref="A7:B7"/>
    <mergeCell ref="D7:E7"/>
    <mergeCell ref="F7:G7"/>
    <mergeCell ref="C38:E38"/>
    <mergeCell ref="T4:U4"/>
    <mergeCell ref="R5:S5"/>
    <mergeCell ref="T5:U5"/>
    <mergeCell ref="R6:S6"/>
    <mergeCell ref="T6:U6"/>
  </mergeCells>
  <pageMargins left="0.2" right="0.2" top="0.25" bottom="0.25" header="0" footer="0"/>
  <pageSetup paperSize="9" scale="90" orientation="portrait" r:id="rId1"/>
  <headerFooter>
    <oddHeader>&amp;RIQAC, SCHOOL OF COMPUTER APPLICATIONS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R1001"/>
  <sheetViews>
    <sheetView workbookViewId="0">
      <selection activeCell="B9" sqref="B9"/>
    </sheetView>
  </sheetViews>
  <sheetFormatPr defaultColWidth="14.44140625" defaultRowHeight="15" customHeight="1" x14ac:dyDescent="0.3"/>
  <cols>
    <col min="1" max="1" width="7.109375" customWidth="1"/>
    <col min="2" max="2" width="17.88671875" customWidth="1"/>
    <col min="3" max="3" width="37.5546875" customWidth="1"/>
    <col min="4" max="9" width="11.33203125" customWidth="1"/>
    <col min="10" max="10" width="12.33203125" customWidth="1"/>
    <col min="11" max="11" width="13.44140625" customWidth="1"/>
    <col min="12" max="12" width="7.109375" customWidth="1"/>
    <col min="13" max="13" width="17.88671875" customWidth="1"/>
    <col min="14" max="14" width="37.5546875" customWidth="1"/>
    <col min="15" max="20" width="11.33203125" customWidth="1"/>
    <col min="21" max="21" width="12.33203125" customWidth="1"/>
    <col min="22" max="22" width="13.44140625" customWidth="1"/>
    <col min="23" max="23" width="7.109375" customWidth="1"/>
    <col min="24" max="24" width="17.88671875" customWidth="1"/>
    <col min="25" max="25" width="37.5546875" customWidth="1"/>
    <col min="26" max="31" width="11.33203125" customWidth="1"/>
    <col min="32" max="32" width="12.33203125" customWidth="1"/>
    <col min="33" max="33" width="13.44140625" customWidth="1"/>
  </cols>
  <sheetData>
    <row r="1" spans="1:44" ht="29.25" customHeight="1" x14ac:dyDescent="0.3">
      <c r="A1" s="52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52" t="s">
        <v>0</v>
      </c>
      <c r="M1" s="45"/>
      <c r="N1" s="45"/>
      <c r="O1" s="45"/>
      <c r="P1" s="45"/>
      <c r="Q1" s="45"/>
      <c r="R1" s="45"/>
      <c r="S1" s="45"/>
      <c r="T1" s="45"/>
      <c r="U1" s="45"/>
      <c r="V1" s="45"/>
      <c r="W1" s="52" t="s">
        <v>0</v>
      </c>
      <c r="X1" s="45"/>
      <c r="Y1" s="45"/>
      <c r="Z1" s="45"/>
      <c r="AA1" s="45"/>
      <c r="AB1" s="45"/>
      <c r="AC1" s="45"/>
      <c r="AD1" s="45"/>
      <c r="AE1" s="45"/>
      <c r="AF1" s="45"/>
      <c r="AG1" s="45"/>
      <c r="AH1" s="52" t="s">
        <v>0</v>
      </c>
      <c r="AI1" s="45"/>
      <c r="AJ1" s="45"/>
      <c r="AK1" s="45"/>
      <c r="AL1" s="45"/>
      <c r="AM1" s="45"/>
      <c r="AN1" s="45"/>
      <c r="AO1" s="45"/>
      <c r="AP1" s="45"/>
      <c r="AQ1" s="45"/>
      <c r="AR1" s="45"/>
    </row>
    <row r="2" spans="1:44" ht="30" customHeight="1" x14ac:dyDescent="0.3">
      <c r="A2" s="53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53" t="s">
        <v>1</v>
      </c>
      <c r="M2" s="45"/>
      <c r="N2" s="45"/>
      <c r="O2" s="45"/>
      <c r="P2" s="45"/>
      <c r="Q2" s="45"/>
      <c r="R2" s="45"/>
      <c r="S2" s="45"/>
      <c r="T2" s="45"/>
      <c r="U2" s="45"/>
      <c r="V2" s="45"/>
      <c r="W2" s="53" t="s">
        <v>1</v>
      </c>
      <c r="X2" s="45"/>
      <c r="Y2" s="45"/>
      <c r="Z2" s="45"/>
      <c r="AA2" s="45"/>
      <c r="AB2" s="45"/>
      <c r="AC2" s="45"/>
      <c r="AD2" s="45"/>
      <c r="AE2" s="45"/>
      <c r="AF2" s="45"/>
      <c r="AG2" s="45"/>
      <c r="AH2" s="53" t="s">
        <v>1</v>
      </c>
      <c r="AI2" s="45"/>
      <c r="AJ2" s="45"/>
      <c r="AK2" s="45"/>
      <c r="AL2" s="45"/>
      <c r="AM2" s="45"/>
      <c r="AN2" s="45"/>
      <c r="AO2" s="45"/>
      <c r="AP2" s="45"/>
      <c r="AQ2" s="45"/>
      <c r="AR2" s="45"/>
    </row>
    <row r="3" spans="1:44" ht="26.25" customHeight="1" x14ac:dyDescent="0.3">
      <c r="A3" s="69" t="s">
        <v>2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69" t="s">
        <v>2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69" t="s">
        <v>2</v>
      </c>
      <c r="X3" s="45"/>
      <c r="Y3" s="45"/>
      <c r="Z3" s="45"/>
      <c r="AA3" s="45"/>
      <c r="AB3" s="45"/>
      <c r="AC3" s="45"/>
      <c r="AD3" s="45"/>
      <c r="AE3" s="45"/>
      <c r="AF3" s="45"/>
      <c r="AG3" s="45"/>
      <c r="AH3" s="69" t="s">
        <v>2</v>
      </c>
      <c r="AI3" s="45"/>
      <c r="AJ3" s="45"/>
      <c r="AK3" s="45"/>
      <c r="AL3" s="45"/>
      <c r="AM3" s="45"/>
      <c r="AN3" s="45"/>
      <c r="AO3" s="45"/>
      <c r="AP3" s="45"/>
      <c r="AQ3" s="45"/>
      <c r="AR3" s="45"/>
    </row>
    <row r="4" spans="1:44" ht="9.75" customHeight="1" x14ac:dyDescent="0.3">
      <c r="A4" s="1"/>
      <c r="B4" s="2"/>
      <c r="C4" s="2"/>
      <c r="L4" s="1"/>
      <c r="M4" s="2"/>
      <c r="N4" s="2"/>
      <c r="W4" s="1"/>
      <c r="X4" s="2"/>
      <c r="Y4" s="2"/>
      <c r="AH4" s="1"/>
      <c r="AI4" s="2"/>
      <c r="AJ4" s="2"/>
    </row>
    <row r="5" spans="1:44" ht="26.25" customHeight="1" x14ac:dyDescent="0.3">
      <c r="A5" s="47" t="s">
        <v>3</v>
      </c>
      <c r="B5" s="45"/>
      <c r="C5" s="71"/>
      <c r="D5" s="46"/>
      <c r="E5" s="20" t="s">
        <v>4</v>
      </c>
      <c r="F5" s="21"/>
      <c r="G5" s="20" t="s">
        <v>43</v>
      </c>
      <c r="H5" s="20"/>
      <c r="I5" s="20"/>
      <c r="J5" s="31" t="s">
        <v>57</v>
      </c>
      <c r="K5" s="17"/>
      <c r="L5" s="47" t="s">
        <v>3</v>
      </c>
      <c r="M5" s="45"/>
      <c r="N5" s="71"/>
      <c r="O5" s="46"/>
      <c r="P5" s="20" t="s">
        <v>4</v>
      </c>
      <c r="Q5" s="21"/>
      <c r="R5" s="20" t="s">
        <v>43</v>
      </c>
      <c r="S5" s="20"/>
      <c r="T5" s="20"/>
      <c r="U5" s="31" t="s">
        <v>57</v>
      </c>
      <c r="V5" s="17"/>
      <c r="W5" s="47" t="s">
        <v>3</v>
      </c>
      <c r="X5" s="45"/>
      <c r="Y5" s="71"/>
      <c r="Z5" s="46"/>
      <c r="AA5" s="20" t="s">
        <v>4</v>
      </c>
      <c r="AB5" s="21"/>
      <c r="AC5" s="20" t="s">
        <v>43</v>
      </c>
      <c r="AD5" s="20"/>
      <c r="AE5" s="20"/>
      <c r="AF5" s="31" t="s">
        <v>57</v>
      </c>
      <c r="AG5" s="17"/>
      <c r="AH5" s="47" t="s">
        <v>3</v>
      </c>
      <c r="AI5" s="45"/>
      <c r="AJ5" s="71"/>
      <c r="AK5" s="46"/>
      <c r="AL5" s="20" t="s">
        <v>4</v>
      </c>
      <c r="AM5" s="21"/>
      <c r="AN5" s="20" t="s">
        <v>43</v>
      </c>
      <c r="AO5" s="20"/>
      <c r="AP5" s="20"/>
      <c r="AQ5" s="31" t="s">
        <v>57</v>
      </c>
      <c r="AR5" s="17"/>
    </row>
    <row r="6" spans="1:44" ht="32.25" customHeight="1" x14ac:dyDescent="0.3">
      <c r="A6" s="70" t="s">
        <v>58</v>
      </c>
      <c r="B6" s="45"/>
      <c r="C6" s="32"/>
      <c r="D6" s="30"/>
      <c r="E6" s="30"/>
      <c r="F6" s="30"/>
      <c r="G6" s="30"/>
      <c r="H6" s="30"/>
      <c r="I6" s="33" t="s">
        <v>59</v>
      </c>
      <c r="J6" s="30"/>
      <c r="L6" s="70" t="s">
        <v>58</v>
      </c>
      <c r="M6" s="45"/>
      <c r="N6" s="32"/>
      <c r="O6" s="30"/>
      <c r="P6" s="30"/>
      <c r="Q6" s="30"/>
      <c r="R6" s="30"/>
      <c r="S6" s="30"/>
      <c r="T6" s="33" t="s">
        <v>59</v>
      </c>
      <c r="U6" s="30"/>
      <c r="W6" s="70" t="s">
        <v>58</v>
      </c>
      <c r="X6" s="45"/>
      <c r="Y6" s="32"/>
      <c r="Z6" s="30"/>
      <c r="AA6" s="30"/>
      <c r="AB6" s="30"/>
      <c r="AC6" s="30"/>
      <c r="AD6" s="30"/>
      <c r="AE6" s="33" t="s">
        <v>59</v>
      </c>
      <c r="AF6" s="30"/>
      <c r="AH6" s="70" t="s">
        <v>58</v>
      </c>
      <c r="AI6" s="45"/>
      <c r="AJ6" s="32"/>
      <c r="AK6" s="30"/>
      <c r="AL6" s="30"/>
      <c r="AM6" s="30"/>
      <c r="AN6" s="30"/>
      <c r="AO6" s="30"/>
      <c r="AP6" s="33" t="s">
        <v>59</v>
      </c>
      <c r="AQ6" s="30"/>
    </row>
    <row r="7" spans="1:44" ht="30" customHeight="1" x14ac:dyDescent="0.3">
      <c r="A7" s="64" t="s">
        <v>11</v>
      </c>
      <c r="B7" s="64" t="s">
        <v>12</v>
      </c>
      <c r="C7" s="64" t="s">
        <v>13</v>
      </c>
      <c r="D7" s="66" t="s">
        <v>9</v>
      </c>
      <c r="E7" s="67"/>
      <c r="F7" s="66" t="s">
        <v>10</v>
      </c>
      <c r="G7" s="68"/>
      <c r="H7" s="66" t="s">
        <v>53</v>
      </c>
      <c r="I7" s="68"/>
      <c r="J7" s="64" t="s">
        <v>56</v>
      </c>
      <c r="K7" s="22" t="s">
        <v>42</v>
      </c>
      <c r="L7" s="64" t="s">
        <v>11</v>
      </c>
      <c r="M7" s="64" t="s">
        <v>12</v>
      </c>
      <c r="N7" s="64" t="s">
        <v>13</v>
      </c>
      <c r="O7" s="66" t="s">
        <v>9</v>
      </c>
      <c r="P7" s="67"/>
      <c r="Q7" s="66" t="s">
        <v>10</v>
      </c>
      <c r="R7" s="68"/>
      <c r="S7" s="66" t="s">
        <v>53</v>
      </c>
      <c r="T7" s="68"/>
      <c r="U7" s="64" t="s">
        <v>56</v>
      </c>
      <c r="V7" s="22" t="s">
        <v>42</v>
      </c>
      <c r="W7" s="64" t="s">
        <v>11</v>
      </c>
      <c r="X7" s="64" t="s">
        <v>12</v>
      </c>
      <c r="Y7" s="64" t="s">
        <v>13</v>
      </c>
      <c r="Z7" s="66" t="s">
        <v>9</v>
      </c>
      <c r="AA7" s="67"/>
      <c r="AB7" s="66" t="s">
        <v>10</v>
      </c>
      <c r="AC7" s="68"/>
      <c r="AD7" s="66" t="s">
        <v>53</v>
      </c>
      <c r="AE7" s="68"/>
      <c r="AF7" s="64" t="s">
        <v>56</v>
      </c>
      <c r="AG7" s="22" t="s">
        <v>42</v>
      </c>
      <c r="AH7" s="64" t="s">
        <v>11</v>
      </c>
      <c r="AI7" s="64" t="s">
        <v>12</v>
      </c>
      <c r="AJ7" s="64" t="s">
        <v>13</v>
      </c>
      <c r="AK7" s="66" t="s">
        <v>9</v>
      </c>
      <c r="AL7" s="67"/>
      <c r="AM7" s="66" t="s">
        <v>10</v>
      </c>
      <c r="AN7" s="68"/>
      <c r="AO7" s="66" t="s">
        <v>53</v>
      </c>
      <c r="AP7" s="68"/>
      <c r="AQ7" s="64" t="s">
        <v>56</v>
      </c>
      <c r="AR7" s="22" t="s">
        <v>42</v>
      </c>
    </row>
    <row r="8" spans="1:44" ht="30" customHeight="1" x14ac:dyDescent="0.3">
      <c r="A8" s="65"/>
      <c r="B8" s="65"/>
      <c r="C8" s="65"/>
      <c r="D8" s="6" t="s">
        <v>49</v>
      </c>
      <c r="E8" s="6" t="s">
        <v>50</v>
      </c>
      <c r="F8" s="6" t="s">
        <v>51</v>
      </c>
      <c r="G8" s="6" t="s">
        <v>52</v>
      </c>
      <c r="H8" s="6" t="s">
        <v>54</v>
      </c>
      <c r="I8" s="6" t="s">
        <v>55</v>
      </c>
      <c r="J8" s="65"/>
      <c r="K8" s="23" t="s">
        <v>44</v>
      </c>
      <c r="L8" s="65"/>
      <c r="M8" s="65"/>
      <c r="N8" s="65"/>
      <c r="O8" s="6" t="s">
        <v>49</v>
      </c>
      <c r="P8" s="6" t="s">
        <v>50</v>
      </c>
      <c r="Q8" s="6" t="s">
        <v>51</v>
      </c>
      <c r="R8" s="6" t="s">
        <v>52</v>
      </c>
      <c r="S8" s="6" t="s">
        <v>54</v>
      </c>
      <c r="T8" s="6" t="s">
        <v>55</v>
      </c>
      <c r="U8" s="65"/>
      <c r="V8" s="23" t="s">
        <v>44</v>
      </c>
      <c r="W8" s="65"/>
      <c r="X8" s="65"/>
      <c r="Y8" s="65"/>
      <c r="Z8" s="6" t="s">
        <v>49</v>
      </c>
      <c r="AA8" s="6" t="s">
        <v>50</v>
      </c>
      <c r="AB8" s="6" t="s">
        <v>51</v>
      </c>
      <c r="AC8" s="6" t="s">
        <v>52</v>
      </c>
      <c r="AD8" s="6" t="s">
        <v>54</v>
      </c>
      <c r="AE8" s="6" t="s">
        <v>55</v>
      </c>
      <c r="AF8" s="65"/>
      <c r="AG8" s="23" t="s">
        <v>44</v>
      </c>
      <c r="AH8" s="65"/>
      <c r="AI8" s="65"/>
      <c r="AJ8" s="65"/>
      <c r="AK8" s="6" t="s">
        <v>49</v>
      </c>
      <c r="AL8" s="6" t="s">
        <v>50</v>
      </c>
      <c r="AM8" s="6" t="s">
        <v>51</v>
      </c>
      <c r="AN8" s="6" t="s">
        <v>52</v>
      </c>
      <c r="AO8" s="6" t="s">
        <v>54</v>
      </c>
      <c r="AP8" s="6" t="s">
        <v>55</v>
      </c>
      <c r="AQ8" s="65"/>
      <c r="AR8" s="23" t="s">
        <v>44</v>
      </c>
    </row>
    <row r="9" spans="1:44" ht="17.25" customHeight="1" x14ac:dyDescent="0.3">
      <c r="A9" s="24">
        <v>1</v>
      </c>
      <c r="B9" s="25"/>
      <c r="C9" s="26"/>
      <c r="D9" s="27"/>
      <c r="E9" s="27"/>
      <c r="F9" s="27"/>
      <c r="G9" s="27"/>
      <c r="H9" s="27"/>
      <c r="I9" s="27"/>
      <c r="J9" s="27"/>
      <c r="K9" s="27"/>
      <c r="L9" s="24">
        <v>21</v>
      </c>
      <c r="M9" s="25"/>
      <c r="N9" s="26"/>
      <c r="O9" s="27"/>
      <c r="P9" s="27"/>
      <c r="Q9" s="27"/>
      <c r="R9" s="27"/>
      <c r="S9" s="27"/>
      <c r="T9" s="27"/>
      <c r="U9" s="27"/>
      <c r="V9" s="27"/>
      <c r="W9" s="24">
        <v>41</v>
      </c>
      <c r="X9" s="25"/>
      <c r="Y9" s="26"/>
      <c r="Z9" s="27"/>
      <c r="AA9" s="27"/>
      <c r="AB9" s="27"/>
      <c r="AC9" s="27"/>
      <c r="AD9" s="27"/>
      <c r="AE9" s="27"/>
      <c r="AF9" s="27"/>
      <c r="AG9" s="27"/>
      <c r="AH9" s="24">
        <v>61</v>
      </c>
      <c r="AI9" s="25"/>
      <c r="AJ9" s="26"/>
      <c r="AK9" s="27"/>
      <c r="AL9" s="27"/>
      <c r="AM9" s="27"/>
      <c r="AN9" s="27"/>
      <c r="AO9" s="27"/>
      <c r="AP9" s="27"/>
      <c r="AQ9" s="27"/>
      <c r="AR9" s="27"/>
    </row>
    <row r="10" spans="1:44" ht="17.25" customHeight="1" x14ac:dyDescent="0.3">
      <c r="A10" s="8">
        <v>2</v>
      </c>
      <c r="B10" s="9"/>
      <c r="C10" s="10"/>
      <c r="D10" s="27"/>
      <c r="E10" s="27"/>
      <c r="F10" s="27"/>
      <c r="G10" s="27"/>
      <c r="H10" s="27"/>
      <c r="I10" s="27"/>
      <c r="J10" s="27"/>
      <c r="K10" s="27"/>
      <c r="L10" s="8">
        <v>22</v>
      </c>
      <c r="M10" s="9"/>
      <c r="N10" s="10"/>
      <c r="O10" s="27"/>
      <c r="P10" s="27"/>
      <c r="Q10" s="27"/>
      <c r="R10" s="27"/>
      <c r="S10" s="27"/>
      <c r="T10" s="27"/>
      <c r="U10" s="27"/>
      <c r="V10" s="27"/>
      <c r="W10" s="8">
        <v>42</v>
      </c>
      <c r="X10" s="9"/>
      <c r="Y10" s="10"/>
      <c r="Z10" s="27"/>
      <c r="AA10" s="27"/>
      <c r="AB10" s="27"/>
      <c r="AC10" s="27"/>
      <c r="AD10" s="27"/>
      <c r="AE10" s="27"/>
      <c r="AF10" s="27"/>
      <c r="AG10" s="27"/>
      <c r="AH10" s="8">
        <v>62</v>
      </c>
      <c r="AI10" s="9"/>
      <c r="AJ10" s="10"/>
      <c r="AK10" s="27"/>
      <c r="AL10" s="27"/>
      <c r="AM10" s="27"/>
      <c r="AN10" s="27"/>
      <c r="AO10" s="27"/>
      <c r="AP10" s="27"/>
      <c r="AQ10" s="27"/>
      <c r="AR10" s="27"/>
    </row>
    <row r="11" spans="1:44" ht="17.25" customHeight="1" x14ac:dyDescent="0.3">
      <c r="A11" s="8">
        <v>3</v>
      </c>
      <c r="B11" s="9"/>
      <c r="C11" s="10"/>
      <c r="D11" s="27"/>
      <c r="E11" s="27"/>
      <c r="F11" s="27"/>
      <c r="G11" s="27"/>
      <c r="H11" s="27"/>
      <c r="I11" s="27"/>
      <c r="J11" s="27"/>
      <c r="K11" s="27"/>
      <c r="L11" s="24">
        <v>23</v>
      </c>
      <c r="M11" s="9"/>
      <c r="N11" s="10"/>
      <c r="O11" s="27"/>
      <c r="P11" s="27"/>
      <c r="Q11" s="27"/>
      <c r="R11" s="27"/>
      <c r="S11" s="27"/>
      <c r="T11" s="27"/>
      <c r="U11" s="27"/>
      <c r="V11" s="27"/>
      <c r="W11" s="24">
        <v>43</v>
      </c>
      <c r="X11" s="9"/>
      <c r="Y11" s="10"/>
      <c r="Z11" s="27"/>
      <c r="AA11" s="27"/>
      <c r="AB11" s="27"/>
      <c r="AC11" s="27"/>
      <c r="AD11" s="27"/>
      <c r="AE11" s="27"/>
      <c r="AF11" s="27"/>
      <c r="AG11" s="27"/>
      <c r="AH11" s="24">
        <v>63</v>
      </c>
      <c r="AI11" s="9"/>
      <c r="AJ11" s="10"/>
      <c r="AK11" s="27"/>
      <c r="AL11" s="27"/>
      <c r="AM11" s="27"/>
      <c r="AN11" s="27"/>
      <c r="AO11" s="27"/>
      <c r="AP11" s="27"/>
      <c r="AQ11" s="27"/>
      <c r="AR11" s="27"/>
    </row>
    <row r="12" spans="1:44" ht="17.25" customHeight="1" x14ac:dyDescent="0.3">
      <c r="A12" s="8">
        <v>4</v>
      </c>
      <c r="B12" s="9"/>
      <c r="C12" s="10"/>
      <c r="D12" s="27"/>
      <c r="E12" s="27"/>
      <c r="F12" s="27"/>
      <c r="G12" s="27"/>
      <c r="H12" s="27"/>
      <c r="I12" s="27"/>
      <c r="J12" s="27"/>
      <c r="K12" s="27"/>
      <c r="L12" s="8">
        <v>24</v>
      </c>
      <c r="M12" s="9"/>
      <c r="N12" s="10"/>
      <c r="O12" s="27"/>
      <c r="P12" s="27"/>
      <c r="Q12" s="27"/>
      <c r="R12" s="27"/>
      <c r="S12" s="27"/>
      <c r="T12" s="27"/>
      <c r="U12" s="27"/>
      <c r="V12" s="27"/>
      <c r="W12" s="8">
        <v>44</v>
      </c>
      <c r="X12" s="9"/>
      <c r="Y12" s="10"/>
      <c r="Z12" s="27"/>
      <c r="AA12" s="27"/>
      <c r="AB12" s="27"/>
      <c r="AC12" s="27"/>
      <c r="AD12" s="27"/>
      <c r="AE12" s="27"/>
      <c r="AF12" s="27"/>
      <c r="AG12" s="27"/>
      <c r="AH12" s="8">
        <v>64</v>
      </c>
      <c r="AI12" s="9"/>
      <c r="AJ12" s="10"/>
      <c r="AK12" s="27"/>
      <c r="AL12" s="27"/>
      <c r="AM12" s="27"/>
      <c r="AN12" s="27"/>
      <c r="AO12" s="27"/>
      <c r="AP12" s="27"/>
      <c r="AQ12" s="27"/>
      <c r="AR12" s="27"/>
    </row>
    <row r="13" spans="1:44" ht="17.25" customHeight="1" x14ac:dyDescent="0.3">
      <c r="A13" s="8">
        <v>5</v>
      </c>
      <c r="B13" s="9"/>
      <c r="C13" s="10"/>
      <c r="D13" s="27"/>
      <c r="E13" s="27"/>
      <c r="F13" s="27"/>
      <c r="G13" s="27"/>
      <c r="H13" s="27"/>
      <c r="I13" s="27"/>
      <c r="J13" s="27"/>
      <c r="K13" s="27"/>
      <c r="L13" s="24">
        <v>25</v>
      </c>
      <c r="M13" s="9"/>
      <c r="N13" s="10"/>
      <c r="O13" s="27"/>
      <c r="P13" s="27"/>
      <c r="Q13" s="27"/>
      <c r="R13" s="27"/>
      <c r="S13" s="27"/>
      <c r="T13" s="27"/>
      <c r="U13" s="27"/>
      <c r="V13" s="27"/>
      <c r="W13" s="24">
        <v>45</v>
      </c>
      <c r="X13" s="9"/>
      <c r="Y13" s="10"/>
      <c r="Z13" s="27"/>
      <c r="AA13" s="27"/>
      <c r="AB13" s="27"/>
      <c r="AC13" s="27"/>
      <c r="AD13" s="27"/>
      <c r="AE13" s="27"/>
      <c r="AF13" s="27"/>
      <c r="AG13" s="27"/>
      <c r="AH13" s="24">
        <v>65</v>
      </c>
      <c r="AI13" s="9"/>
      <c r="AJ13" s="10"/>
      <c r="AK13" s="27"/>
      <c r="AL13" s="27"/>
      <c r="AM13" s="27"/>
      <c r="AN13" s="27"/>
      <c r="AO13" s="27"/>
      <c r="AP13" s="27"/>
      <c r="AQ13" s="27"/>
      <c r="AR13" s="27"/>
    </row>
    <row r="14" spans="1:44" ht="17.25" customHeight="1" x14ac:dyDescent="0.3">
      <c r="A14" s="8">
        <v>6</v>
      </c>
      <c r="B14" s="9"/>
      <c r="C14" s="10"/>
      <c r="D14" s="27"/>
      <c r="E14" s="27"/>
      <c r="F14" s="27"/>
      <c r="G14" s="27"/>
      <c r="H14" s="27"/>
      <c r="I14" s="27"/>
      <c r="J14" s="27"/>
      <c r="K14" s="27"/>
      <c r="L14" s="8">
        <v>26</v>
      </c>
      <c r="M14" s="9"/>
      <c r="N14" s="10"/>
      <c r="O14" s="27"/>
      <c r="P14" s="27"/>
      <c r="Q14" s="27"/>
      <c r="R14" s="27"/>
      <c r="S14" s="27"/>
      <c r="T14" s="27"/>
      <c r="U14" s="27"/>
      <c r="V14" s="27"/>
      <c r="W14" s="8">
        <v>46</v>
      </c>
      <c r="X14" s="9"/>
      <c r="Y14" s="10"/>
      <c r="Z14" s="27"/>
      <c r="AA14" s="27"/>
      <c r="AB14" s="27"/>
      <c r="AC14" s="27"/>
      <c r="AD14" s="27"/>
      <c r="AE14" s="27"/>
      <c r="AF14" s="27"/>
      <c r="AG14" s="27"/>
      <c r="AH14" s="8">
        <v>66</v>
      </c>
      <c r="AI14" s="9"/>
      <c r="AJ14" s="10"/>
      <c r="AK14" s="27"/>
      <c r="AL14" s="27"/>
      <c r="AM14" s="27"/>
      <c r="AN14" s="27"/>
      <c r="AO14" s="27"/>
      <c r="AP14" s="27"/>
      <c r="AQ14" s="27"/>
      <c r="AR14" s="27"/>
    </row>
    <row r="15" spans="1:44" ht="17.25" customHeight="1" x14ac:dyDescent="0.3">
      <c r="A15" s="8">
        <v>7</v>
      </c>
      <c r="B15" s="9"/>
      <c r="C15" s="10"/>
      <c r="D15" s="27"/>
      <c r="E15" s="27"/>
      <c r="F15" s="27"/>
      <c r="G15" s="27"/>
      <c r="H15" s="27"/>
      <c r="I15" s="27"/>
      <c r="J15" s="27"/>
      <c r="K15" s="27"/>
      <c r="L15" s="24">
        <v>27</v>
      </c>
      <c r="M15" s="9"/>
      <c r="N15" s="10"/>
      <c r="O15" s="27"/>
      <c r="P15" s="27"/>
      <c r="Q15" s="27"/>
      <c r="R15" s="27"/>
      <c r="S15" s="27"/>
      <c r="T15" s="27"/>
      <c r="U15" s="27"/>
      <c r="V15" s="27"/>
      <c r="W15" s="24">
        <v>47</v>
      </c>
      <c r="X15" s="9"/>
      <c r="Y15" s="10"/>
      <c r="Z15" s="27"/>
      <c r="AA15" s="27"/>
      <c r="AB15" s="27"/>
      <c r="AC15" s="27"/>
      <c r="AD15" s="27"/>
      <c r="AE15" s="27"/>
      <c r="AF15" s="27"/>
      <c r="AG15" s="27"/>
      <c r="AH15" s="24">
        <v>67</v>
      </c>
      <c r="AI15" s="9"/>
      <c r="AJ15" s="10"/>
      <c r="AK15" s="27"/>
      <c r="AL15" s="27"/>
      <c r="AM15" s="27"/>
      <c r="AN15" s="27"/>
      <c r="AO15" s="27"/>
      <c r="AP15" s="27"/>
      <c r="AQ15" s="27"/>
      <c r="AR15" s="27"/>
    </row>
    <row r="16" spans="1:44" ht="17.25" customHeight="1" x14ac:dyDescent="0.3">
      <c r="A16" s="8">
        <v>8</v>
      </c>
      <c r="B16" s="9"/>
      <c r="C16" s="10"/>
      <c r="D16" s="27"/>
      <c r="E16" s="27"/>
      <c r="F16" s="27"/>
      <c r="G16" s="27"/>
      <c r="H16" s="27"/>
      <c r="I16" s="27"/>
      <c r="J16" s="27"/>
      <c r="K16" s="27"/>
      <c r="L16" s="8">
        <v>28</v>
      </c>
      <c r="M16" s="9"/>
      <c r="N16" s="10"/>
      <c r="O16" s="27"/>
      <c r="P16" s="27"/>
      <c r="Q16" s="27"/>
      <c r="R16" s="27"/>
      <c r="S16" s="27"/>
      <c r="T16" s="27"/>
      <c r="U16" s="27"/>
      <c r="V16" s="27"/>
      <c r="W16" s="8">
        <v>48</v>
      </c>
      <c r="X16" s="9"/>
      <c r="Y16" s="10"/>
      <c r="Z16" s="27"/>
      <c r="AA16" s="27"/>
      <c r="AB16" s="27"/>
      <c r="AC16" s="27"/>
      <c r="AD16" s="27"/>
      <c r="AE16" s="27"/>
      <c r="AF16" s="27"/>
      <c r="AG16" s="27"/>
      <c r="AH16" s="8"/>
      <c r="AI16" s="9"/>
      <c r="AJ16" s="10"/>
      <c r="AK16" s="27"/>
      <c r="AL16" s="27"/>
      <c r="AM16" s="27"/>
      <c r="AN16" s="27"/>
      <c r="AO16" s="27"/>
      <c r="AP16" s="27"/>
      <c r="AQ16" s="27"/>
      <c r="AR16" s="27"/>
    </row>
    <row r="17" spans="1:44" ht="17.25" customHeight="1" x14ac:dyDescent="0.3">
      <c r="A17" s="8">
        <v>9</v>
      </c>
      <c r="B17" s="9"/>
      <c r="C17" s="10"/>
      <c r="D17" s="27"/>
      <c r="E17" s="27"/>
      <c r="F17" s="27"/>
      <c r="G17" s="27"/>
      <c r="H17" s="27"/>
      <c r="I17" s="27"/>
      <c r="J17" s="27"/>
      <c r="K17" s="27"/>
      <c r="L17" s="24">
        <v>29</v>
      </c>
      <c r="M17" s="9"/>
      <c r="N17" s="10"/>
      <c r="O17" s="27"/>
      <c r="P17" s="27"/>
      <c r="Q17" s="27"/>
      <c r="R17" s="27"/>
      <c r="S17" s="27"/>
      <c r="T17" s="27"/>
      <c r="U17" s="27"/>
      <c r="V17" s="27"/>
      <c r="W17" s="24">
        <v>49</v>
      </c>
      <c r="X17" s="9"/>
      <c r="Y17" s="10"/>
      <c r="Z17" s="27"/>
      <c r="AA17" s="27"/>
      <c r="AB17" s="27"/>
      <c r="AC17" s="27"/>
      <c r="AD17" s="27"/>
      <c r="AE17" s="27"/>
      <c r="AF17" s="27"/>
      <c r="AG17" s="27"/>
      <c r="AH17" s="24"/>
      <c r="AI17" s="9"/>
      <c r="AJ17" s="10"/>
      <c r="AK17" s="27"/>
      <c r="AL17" s="27"/>
      <c r="AM17" s="27"/>
      <c r="AN17" s="27"/>
      <c r="AO17" s="27"/>
      <c r="AP17" s="27"/>
      <c r="AQ17" s="27"/>
      <c r="AR17" s="27"/>
    </row>
    <row r="18" spans="1:44" ht="17.25" customHeight="1" x14ac:dyDescent="0.3">
      <c r="A18" s="8">
        <v>10</v>
      </c>
      <c r="B18" s="9"/>
      <c r="C18" s="10"/>
      <c r="D18" s="27"/>
      <c r="E18" s="27"/>
      <c r="F18" s="27"/>
      <c r="G18" s="27"/>
      <c r="H18" s="27"/>
      <c r="I18" s="27"/>
      <c r="J18" s="27"/>
      <c r="K18" s="27"/>
      <c r="L18" s="8">
        <v>30</v>
      </c>
      <c r="M18" s="9"/>
      <c r="N18" s="10"/>
      <c r="O18" s="27"/>
      <c r="P18" s="27"/>
      <c r="Q18" s="27"/>
      <c r="R18" s="27"/>
      <c r="S18" s="27"/>
      <c r="T18" s="27"/>
      <c r="U18" s="27"/>
      <c r="V18" s="27"/>
      <c r="W18" s="8">
        <v>50</v>
      </c>
      <c r="X18" s="9"/>
      <c r="Y18" s="10"/>
      <c r="Z18" s="27"/>
      <c r="AA18" s="27"/>
      <c r="AB18" s="27"/>
      <c r="AC18" s="27"/>
      <c r="AD18" s="27"/>
      <c r="AE18" s="27"/>
      <c r="AF18" s="27"/>
      <c r="AG18" s="27"/>
      <c r="AH18" s="8"/>
      <c r="AI18" s="9"/>
      <c r="AJ18" s="10"/>
      <c r="AK18" s="27"/>
      <c r="AL18" s="27"/>
      <c r="AM18" s="27"/>
      <c r="AN18" s="27"/>
      <c r="AO18" s="27"/>
      <c r="AP18" s="27"/>
      <c r="AQ18" s="27"/>
      <c r="AR18" s="27"/>
    </row>
    <row r="19" spans="1:44" ht="17.25" customHeight="1" x14ac:dyDescent="0.3">
      <c r="A19" s="8">
        <v>11</v>
      </c>
      <c r="B19" s="9"/>
      <c r="C19" s="10"/>
      <c r="D19" s="27"/>
      <c r="E19" s="27"/>
      <c r="F19" s="27"/>
      <c r="G19" s="27"/>
      <c r="H19" s="27"/>
      <c r="I19" s="27"/>
      <c r="J19" s="27"/>
      <c r="K19" s="27"/>
      <c r="L19" s="24">
        <v>31</v>
      </c>
      <c r="M19" s="9"/>
      <c r="N19" s="10"/>
      <c r="O19" s="27"/>
      <c r="P19" s="27"/>
      <c r="Q19" s="27"/>
      <c r="R19" s="27"/>
      <c r="S19" s="27"/>
      <c r="T19" s="27"/>
      <c r="U19" s="27"/>
      <c r="V19" s="27"/>
      <c r="W19" s="24">
        <v>51</v>
      </c>
      <c r="X19" s="9"/>
      <c r="Y19" s="10"/>
      <c r="Z19" s="27"/>
      <c r="AA19" s="27"/>
      <c r="AB19" s="27"/>
      <c r="AC19" s="27"/>
      <c r="AD19" s="27"/>
      <c r="AE19" s="27"/>
      <c r="AF19" s="27"/>
      <c r="AG19" s="27"/>
      <c r="AH19" s="24"/>
      <c r="AI19" s="9"/>
      <c r="AJ19" s="10"/>
      <c r="AK19" s="27"/>
      <c r="AL19" s="27"/>
      <c r="AM19" s="27"/>
      <c r="AN19" s="27"/>
      <c r="AO19" s="27"/>
      <c r="AP19" s="27"/>
      <c r="AQ19" s="27"/>
      <c r="AR19" s="27"/>
    </row>
    <row r="20" spans="1:44" ht="17.25" customHeight="1" x14ac:dyDescent="0.3">
      <c r="A20" s="8">
        <v>12</v>
      </c>
      <c r="B20" s="9"/>
      <c r="C20" s="10"/>
      <c r="D20" s="27"/>
      <c r="E20" s="27"/>
      <c r="F20" s="27"/>
      <c r="G20" s="27"/>
      <c r="H20" s="27"/>
      <c r="I20" s="27"/>
      <c r="J20" s="27"/>
      <c r="K20" s="27"/>
      <c r="L20" s="8">
        <v>32</v>
      </c>
      <c r="M20" s="9"/>
      <c r="N20" s="10"/>
      <c r="O20" s="27"/>
      <c r="P20" s="27"/>
      <c r="Q20" s="27"/>
      <c r="R20" s="27"/>
      <c r="S20" s="27"/>
      <c r="T20" s="27"/>
      <c r="U20" s="27"/>
      <c r="V20" s="27"/>
      <c r="W20" s="8">
        <v>52</v>
      </c>
      <c r="X20" s="9"/>
      <c r="Y20" s="10"/>
      <c r="Z20" s="27"/>
      <c r="AA20" s="27"/>
      <c r="AB20" s="27"/>
      <c r="AC20" s="27"/>
      <c r="AD20" s="27"/>
      <c r="AE20" s="27"/>
      <c r="AF20" s="27"/>
      <c r="AG20" s="27"/>
      <c r="AH20" s="8"/>
      <c r="AI20" s="9"/>
      <c r="AJ20" s="10"/>
      <c r="AK20" s="27"/>
      <c r="AL20" s="27"/>
      <c r="AM20" s="27"/>
      <c r="AN20" s="27"/>
      <c r="AO20" s="27"/>
      <c r="AP20" s="27"/>
      <c r="AQ20" s="27"/>
      <c r="AR20" s="27"/>
    </row>
    <row r="21" spans="1:44" ht="17.25" customHeight="1" x14ac:dyDescent="0.3">
      <c r="A21" s="8">
        <v>13</v>
      </c>
      <c r="B21" s="9"/>
      <c r="C21" s="10"/>
      <c r="D21" s="27"/>
      <c r="E21" s="27"/>
      <c r="F21" s="27"/>
      <c r="G21" s="27"/>
      <c r="H21" s="27"/>
      <c r="I21" s="27"/>
      <c r="J21" s="27"/>
      <c r="K21" s="27"/>
      <c r="L21" s="24">
        <v>33</v>
      </c>
      <c r="M21" s="9"/>
      <c r="N21" s="10"/>
      <c r="O21" s="27"/>
      <c r="P21" s="27"/>
      <c r="Q21" s="27"/>
      <c r="R21" s="27"/>
      <c r="S21" s="27"/>
      <c r="T21" s="27"/>
      <c r="U21" s="27"/>
      <c r="V21" s="27"/>
      <c r="W21" s="24">
        <v>53</v>
      </c>
      <c r="X21" s="9"/>
      <c r="Y21" s="10"/>
      <c r="Z21" s="27"/>
      <c r="AA21" s="27"/>
      <c r="AB21" s="27"/>
      <c r="AC21" s="27"/>
      <c r="AD21" s="27"/>
      <c r="AE21" s="27"/>
      <c r="AF21" s="27"/>
      <c r="AG21" s="27"/>
      <c r="AH21" s="24"/>
      <c r="AI21" s="9"/>
      <c r="AJ21" s="10"/>
      <c r="AK21" s="27"/>
      <c r="AL21" s="27"/>
      <c r="AM21" s="27"/>
      <c r="AN21" s="27"/>
      <c r="AO21" s="27"/>
      <c r="AP21" s="27"/>
      <c r="AQ21" s="27"/>
      <c r="AR21" s="27"/>
    </row>
    <row r="22" spans="1:44" ht="17.25" customHeight="1" x14ac:dyDescent="0.3">
      <c r="A22" s="8">
        <v>14</v>
      </c>
      <c r="B22" s="9"/>
      <c r="C22" s="10"/>
      <c r="D22" s="27"/>
      <c r="E22" s="27"/>
      <c r="F22" s="27"/>
      <c r="G22" s="27"/>
      <c r="H22" s="27"/>
      <c r="I22" s="27"/>
      <c r="J22" s="27"/>
      <c r="K22" s="27"/>
      <c r="L22" s="8">
        <v>34</v>
      </c>
      <c r="M22" s="9"/>
      <c r="N22" s="10"/>
      <c r="O22" s="27"/>
      <c r="P22" s="27"/>
      <c r="Q22" s="27"/>
      <c r="R22" s="27"/>
      <c r="S22" s="27"/>
      <c r="T22" s="27"/>
      <c r="U22" s="27"/>
      <c r="V22" s="27"/>
      <c r="W22" s="8">
        <v>54</v>
      </c>
      <c r="X22" s="9"/>
      <c r="Y22" s="10"/>
      <c r="Z22" s="27"/>
      <c r="AA22" s="27"/>
      <c r="AB22" s="27"/>
      <c r="AC22" s="27"/>
      <c r="AD22" s="27"/>
      <c r="AE22" s="27"/>
      <c r="AF22" s="27"/>
      <c r="AG22" s="27"/>
      <c r="AH22" s="8"/>
      <c r="AI22" s="9"/>
      <c r="AJ22" s="10"/>
      <c r="AK22" s="27"/>
      <c r="AL22" s="27"/>
      <c r="AM22" s="27"/>
      <c r="AN22" s="27"/>
      <c r="AO22" s="27"/>
      <c r="AP22" s="27"/>
      <c r="AQ22" s="27"/>
      <c r="AR22" s="27"/>
    </row>
    <row r="23" spans="1:44" ht="17.25" customHeight="1" x14ac:dyDescent="0.3">
      <c r="A23" s="8">
        <v>15</v>
      </c>
      <c r="B23" s="9"/>
      <c r="C23" s="10"/>
      <c r="D23" s="27"/>
      <c r="E23" s="27"/>
      <c r="F23" s="27"/>
      <c r="G23" s="27"/>
      <c r="H23" s="27"/>
      <c r="I23" s="27"/>
      <c r="J23" s="27"/>
      <c r="K23" s="27"/>
      <c r="L23" s="24">
        <v>35</v>
      </c>
      <c r="M23" s="9"/>
      <c r="N23" s="10"/>
      <c r="O23" s="27"/>
      <c r="P23" s="27"/>
      <c r="Q23" s="27"/>
      <c r="R23" s="27"/>
      <c r="S23" s="27"/>
      <c r="T23" s="27"/>
      <c r="U23" s="27"/>
      <c r="V23" s="27"/>
      <c r="W23" s="24">
        <v>55</v>
      </c>
      <c r="X23" s="9"/>
      <c r="Y23" s="10"/>
      <c r="Z23" s="27"/>
      <c r="AA23" s="27"/>
      <c r="AB23" s="27"/>
      <c r="AC23" s="27"/>
      <c r="AD23" s="27"/>
      <c r="AE23" s="27"/>
      <c r="AF23" s="27"/>
      <c r="AG23" s="27"/>
      <c r="AH23" s="24"/>
      <c r="AI23" s="9"/>
      <c r="AJ23" s="10"/>
      <c r="AK23" s="27"/>
      <c r="AL23" s="27"/>
      <c r="AM23" s="27"/>
      <c r="AN23" s="27"/>
      <c r="AO23" s="27"/>
      <c r="AP23" s="27"/>
      <c r="AQ23" s="27"/>
      <c r="AR23" s="27"/>
    </row>
    <row r="24" spans="1:44" ht="17.25" customHeight="1" x14ac:dyDescent="0.3">
      <c r="A24" s="8">
        <v>16</v>
      </c>
      <c r="B24" s="9"/>
      <c r="C24" s="10"/>
      <c r="D24" s="27"/>
      <c r="E24" s="27"/>
      <c r="F24" s="27"/>
      <c r="G24" s="27"/>
      <c r="H24" s="27"/>
      <c r="I24" s="27"/>
      <c r="J24" s="27"/>
      <c r="K24" s="27"/>
      <c r="L24" s="8">
        <v>36</v>
      </c>
      <c r="M24" s="9"/>
      <c r="N24" s="10"/>
      <c r="O24" s="27"/>
      <c r="P24" s="27"/>
      <c r="Q24" s="27"/>
      <c r="R24" s="27"/>
      <c r="S24" s="27"/>
      <c r="T24" s="27"/>
      <c r="U24" s="27"/>
      <c r="V24" s="27"/>
      <c r="W24" s="8">
        <v>56</v>
      </c>
      <c r="X24" s="9"/>
      <c r="Y24" s="10"/>
      <c r="Z24" s="27"/>
      <c r="AA24" s="27"/>
      <c r="AB24" s="27"/>
      <c r="AC24" s="27"/>
      <c r="AD24" s="27"/>
      <c r="AE24" s="27"/>
      <c r="AF24" s="27"/>
      <c r="AG24" s="27"/>
      <c r="AH24" s="8"/>
      <c r="AI24" s="9"/>
      <c r="AJ24" s="10"/>
      <c r="AK24" s="27"/>
      <c r="AL24" s="27"/>
      <c r="AM24" s="27"/>
      <c r="AN24" s="27"/>
      <c r="AO24" s="27"/>
      <c r="AP24" s="27"/>
      <c r="AQ24" s="27"/>
      <c r="AR24" s="27"/>
    </row>
    <row r="25" spans="1:44" ht="17.25" customHeight="1" x14ac:dyDescent="0.3">
      <c r="A25" s="8">
        <v>17</v>
      </c>
      <c r="B25" s="9"/>
      <c r="C25" s="10"/>
      <c r="D25" s="27"/>
      <c r="E25" s="27"/>
      <c r="F25" s="27"/>
      <c r="G25" s="27"/>
      <c r="H25" s="27"/>
      <c r="I25" s="27"/>
      <c r="J25" s="27"/>
      <c r="K25" s="27"/>
      <c r="L25" s="24">
        <v>37</v>
      </c>
      <c r="M25" s="9"/>
      <c r="N25" s="10"/>
      <c r="O25" s="27"/>
      <c r="P25" s="27"/>
      <c r="Q25" s="27"/>
      <c r="R25" s="27"/>
      <c r="S25" s="27"/>
      <c r="T25" s="27"/>
      <c r="U25" s="27"/>
      <c r="V25" s="27"/>
      <c r="W25" s="24">
        <v>57</v>
      </c>
      <c r="X25" s="9"/>
      <c r="Y25" s="10"/>
      <c r="Z25" s="27"/>
      <c r="AA25" s="27"/>
      <c r="AB25" s="27"/>
      <c r="AC25" s="27"/>
      <c r="AD25" s="27"/>
      <c r="AE25" s="27"/>
      <c r="AF25" s="27"/>
      <c r="AG25" s="27"/>
      <c r="AH25" s="24"/>
      <c r="AI25" s="9"/>
      <c r="AJ25" s="10"/>
      <c r="AK25" s="27"/>
      <c r="AL25" s="27"/>
      <c r="AM25" s="27"/>
      <c r="AN25" s="27"/>
      <c r="AO25" s="27"/>
      <c r="AP25" s="27"/>
      <c r="AQ25" s="27"/>
      <c r="AR25" s="27"/>
    </row>
    <row r="26" spans="1:44" ht="17.25" customHeight="1" x14ac:dyDescent="0.3">
      <c r="A26" s="8">
        <v>18</v>
      </c>
      <c r="B26" s="9"/>
      <c r="C26" s="10"/>
      <c r="D26" s="27"/>
      <c r="E26" s="27"/>
      <c r="F26" s="27"/>
      <c r="G26" s="27"/>
      <c r="H26" s="27"/>
      <c r="I26" s="27"/>
      <c r="J26" s="27"/>
      <c r="K26" s="27"/>
      <c r="L26" s="8">
        <v>38</v>
      </c>
      <c r="M26" s="9"/>
      <c r="N26" s="10"/>
      <c r="O26" s="27"/>
      <c r="P26" s="27"/>
      <c r="Q26" s="27"/>
      <c r="R26" s="27"/>
      <c r="S26" s="27"/>
      <c r="T26" s="27"/>
      <c r="U26" s="27"/>
      <c r="V26" s="27"/>
      <c r="W26" s="8">
        <v>58</v>
      </c>
      <c r="X26" s="9"/>
      <c r="Y26" s="10"/>
      <c r="Z26" s="27"/>
      <c r="AA26" s="27"/>
      <c r="AB26" s="27"/>
      <c r="AC26" s="27"/>
      <c r="AD26" s="27"/>
      <c r="AE26" s="27"/>
      <c r="AF26" s="27"/>
      <c r="AG26" s="27"/>
      <c r="AH26" s="8"/>
      <c r="AI26" s="9"/>
      <c r="AJ26" s="10"/>
      <c r="AK26" s="27"/>
      <c r="AL26" s="27"/>
      <c r="AM26" s="27"/>
      <c r="AN26" s="27"/>
      <c r="AO26" s="27"/>
      <c r="AP26" s="27"/>
      <c r="AQ26" s="27"/>
      <c r="AR26" s="27"/>
    </row>
    <row r="27" spans="1:44" ht="17.25" customHeight="1" x14ac:dyDescent="0.3">
      <c r="A27" s="8">
        <v>19</v>
      </c>
      <c r="B27" s="9"/>
      <c r="C27" s="10"/>
      <c r="D27" s="27"/>
      <c r="E27" s="27"/>
      <c r="F27" s="27"/>
      <c r="G27" s="27"/>
      <c r="H27" s="27"/>
      <c r="I27" s="27"/>
      <c r="J27" s="27"/>
      <c r="K27" s="27"/>
      <c r="L27" s="24">
        <v>39</v>
      </c>
      <c r="M27" s="9"/>
      <c r="N27" s="10"/>
      <c r="O27" s="27"/>
      <c r="P27" s="27"/>
      <c r="Q27" s="27"/>
      <c r="R27" s="27"/>
      <c r="S27" s="27"/>
      <c r="T27" s="27"/>
      <c r="U27" s="27"/>
      <c r="V27" s="27"/>
      <c r="W27" s="24">
        <v>59</v>
      </c>
      <c r="X27" s="9"/>
      <c r="Y27" s="10"/>
      <c r="Z27" s="27"/>
      <c r="AA27" s="27"/>
      <c r="AB27" s="27"/>
      <c r="AC27" s="27"/>
      <c r="AD27" s="27"/>
      <c r="AE27" s="27"/>
      <c r="AF27" s="27"/>
      <c r="AG27" s="27"/>
      <c r="AH27" s="24"/>
      <c r="AI27" s="9"/>
      <c r="AJ27" s="10"/>
      <c r="AK27" s="27"/>
      <c r="AL27" s="27"/>
      <c r="AM27" s="27"/>
      <c r="AN27" s="27"/>
      <c r="AO27" s="27"/>
      <c r="AP27" s="27"/>
      <c r="AQ27" s="27"/>
      <c r="AR27" s="27"/>
    </row>
    <row r="28" spans="1:44" ht="17.25" customHeight="1" x14ac:dyDescent="0.3">
      <c r="A28" s="8">
        <v>20</v>
      </c>
      <c r="B28" s="9"/>
      <c r="C28" s="10"/>
      <c r="D28" s="27"/>
      <c r="E28" s="27"/>
      <c r="F28" s="27"/>
      <c r="G28" s="27"/>
      <c r="H28" s="27"/>
      <c r="I28" s="27"/>
      <c r="J28" s="27"/>
      <c r="K28" s="27"/>
      <c r="L28" s="8">
        <v>40</v>
      </c>
      <c r="M28" s="9"/>
      <c r="N28" s="10"/>
      <c r="O28" s="27"/>
      <c r="P28" s="27"/>
      <c r="Q28" s="27"/>
      <c r="R28" s="27"/>
      <c r="S28" s="27"/>
      <c r="T28" s="27"/>
      <c r="U28" s="27"/>
      <c r="V28" s="27"/>
      <c r="W28" s="8">
        <v>60</v>
      </c>
      <c r="X28" s="9"/>
      <c r="Y28" s="10"/>
      <c r="Z28" s="27"/>
      <c r="AA28" s="27"/>
      <c r="AB28" s="27"/>
      <c r="AC28" s="27"/>
      <c r="AD28" s="27"/>
      <c r="AE28" s="27"/>
      <c r="AF28" s="27"/>
      <c r="AG28" s="27"/>
      <c r="AH28" s="8"/>
      <c r="AI28" s="9"/>
      <c r="AJ28" s="10"/>
      <c r="AK28" s="27"/>
      <c r="AL28" s="27"/>
      <c r="AM28" s="27"/>
      <c r="AN28" s="27"/>
      <c r="AO28" s="27"/>
      <c r="AP28" s="27"/>
      <c r="AQ28" s="27"/>
      <c r="AR28" s="27"/>
    </row>
    <row r="29" spans="1:44" ht="17.25" customHeight="1" x14ac:dyDescent="0.3">
      <c r="A29" s="34"/>
      <c r="B29" s="35"/>
      <c r="C29" s="35"/>
      <c r="D29" s="36"/>
      <c r="E29" s="36"/>
      <c r="F29" s="36"/>
      <c r="G29" s="36"/>
      <c r="H29" s="36"/>
      <c r="I29" s="36"/>
      <c r="J29" s="36"/>
      <c r="K29" s="36"/>
      <c r="L29" s="34"/>
      <c r="M29" s="35"/>
      <c r="N29" s="35"/>
      <c r="O29" s="36"/>
      <c r="P29" s="36"/>
      <c r="Q29" s="36"/>
      <c r="R29" s="36"/>
      <c r="S29" s="36"/>
      <c r="T29" s="36"/>
      <c r="U29" s="36"/>
      <c r="V29" s="36"/>
      <c r="W29" s="34"/>
      <c r="X29" s="35"/>
      <c r="Y29" s="35"/>
      <c r="Z29" s="36"/>
      <c r="AA29" s="36"/>
      <c r="AB29" s="36"/>
      <c r="AC29" s="36"/>
      <c r="AD29" s="36"/>
      <c r="AE29" s="36"/>
      <c r="AF29" s="36"/>
      <c r="AG29" s="36"/>
      <c r="AH29" s="34"/>
      <c r="AI29" s="35"/>
      <c r="AJ29" s="35"/>
      <c r="AK29" s="36"/>
      <c r="AL29" s="36"/>
      <c r="AM29" s="36"/>
      <c r="AN29" s="36"/>
      <c r="AO29" s="36"/>
      <c r="AP29" s="36"/>
      <c r="AQ29" s="36"/>
      <c r="AR29" s="36"/>
    </row>
    <row r="30" spans="1:44" ht="26.25" customHeight="1" x14ac:dyDescent="0.3">
      <c r="A30" s="15"/>
      <c r="B30" s="16"/>
      <c r="C30" s="16"/>
      <c r="L30" s="15"/>
      <c r="M30" s="16"/>
      <c r="N30" s="16"/>
      <c r="W30" s="15"/>
      <c r="X30" s="16"/>
      <c r="Y30" s="16"/>
      <c r="AH30" s="15"/>
      <c r="AI30" s="16"/>
      <c r="AJ30" s="16"/>
    </row>
    <row r="31" spans="1:44" ht="26.25" customHeight="1" x14ac:dyDescent="0.3">
      <c r="A31" s="44" t="s">
        <v>31</v>
      </c>
      <c r="B31" s="45"/>
      <c r="C31" s="15"/>
      <c r="D31" s="63" t="s">
        <v>60</v>
      </c>
      <c r="E31" s="45"/>
      <c r="F31" s="45"/>
      <c r="G31" s="28"/>
      <c r="H31" s="28"/>
      <c r="I31" s="28"/>
      <c r="J31" s="60" t="s">
        <v>45</v>
      </c>
      <c r="K31" s="45"/>
      <c r="L31" s="44" t="s">
        <v>31</v>
      </c>
      <c r="M31" s="45"/>
      <c r="N31" s="15"/>
      <c r="O31" s="63" t="s">
        <v>60</v>
      </c>
      <c r="P31" s="45"/>
      <c r="Q31" s="45"/>
      <c r="R31" s="28"/>
      <c r="S31" s="28"/>
      <c r="T31" s="28"/>
      <c r="U31" s="60" t="s">
        <v>45</v>
      </c>
      <c r="V31" s="45"/>
      <c r="W31" s="44" t="s">
        <v>31</v>
      </c>
      <c r="X31" s="45"/>
      <c r="Y31" s="15"/>
      <c r="Z31" s="63" t="s">
        <v>60</v>
      </c>
      <c r="AA31" s="45"/>
      <c r="AB31" s="45"/>
      <c r="AC31" s="28"/>
      <c r="AD31" s="28"/>
      <c r="AE31" s="28"/>
      <c r="AF31" s="60" t="s">
        <v>45</v>
      </c>
      <c r="AG31" s="45"/>
      <c r="AH31" s="44" t="s">
        <v>31</v>
      </c>
      <c r="AI31" s="45"/>
      <c r="AJ31" s="15"/>
      <c r="AK31" s="63" t="s">
        <v>60</v>
      </c>
      <c r="AL31" s="45"/>
      <c r="AM31" s="45"/>
      <c r="AN31" s="28"/>
      <c r="AO31" s="28"/>
      <c r="AP31" s="28"/>
      <c r="AQ31" s="60" t="s">
        <v>45</v>
      </c>
      <c r="AR31" s="45"/>
    </row>
    <row r="32" spans="1:44" ht="26.25" customHeight="1" x14ac:dyDescent="0.3"/>
    <row r="33" ht="26.25" customHeight="1" x14ac:dyDescent="0.3"/>
    <row r="34" ht="26.25" customHeight="1" x14ac:dyDescent="0.3"/>
    <row r="35" ht="26.25" customHeight="1" x14ac:dyDescent="0.3"/>
    <row r="36" ht="26.25" customHeight="1" x14ac:dyDescent="0.3"/>
    <row r="37" ht="26.25" customHeight="1" x14ac:dyDescent="0.3"/>
    <row r="38" ht="26.25" customHeight="1" x14ac:dyDescent="0.3"/>
    <row r="39" ht="26.25" customHeight="1" x14ac:dyDescent="0.3"/>
    <row r="40" ht="26.25" customHeight="1" x14ac:dyDescent="0.3"/>
    <row r="41" ht="26.25" customHeight="1" x14ac:dyDescent="0.3"/>
    <row r="42" ht="26.2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64">
    <mergeCell ref="AM7:AN7"/>
    <mergeCell ref="AO7:AP7"/>
    <mergeCell ref="AQ7:AQ8"/>
    <mergeCell ref="AH31:AI31"/>
    <mergeCell ref="AK31:AM31"/>
    <mergeCell ref="AQ31:AR31"/>
    <mergeCell ref="AH6:AI6"/>
    <mergeCell ref="AH7:AH8"/>
    <mergeCell ref="AI7:AI8"/>
    <mergeCell ref="AJ7:AJ8"/>
    <mergeCell ref="AK7:AL7"/>
    <mergeCell ref="AH1:AR1"/>
    <mergeCell ref="AH2:AR2"/>
    <mergeCell ref="AH3:AR3"/>
    <mergeCell ref="AH5:AI5"/>
    <mergeCell ref="AJ5:AK5"/>
    <mergeCell ref="AF31:AG31"/>
    <mergeCell ref="L7:L8"/>
    <mergeCell ref="S7:T7"/>
    <mergeCell ref="L31:M31"/>
    <mergeCell ref="O31:Q31"/>
    <mergeCell ref="X7:X8"/>
    <mergeCell ref="Y7:Y8"/>
    <mergeCell ref="AB7:AC7"/>
    <mergeCell ref="AD7:AE7"/>
    <mergeCell ref="AF7:AF8"/>
    <mergeCell ref="W31:X31"/>
    <mergeCell ref="Z31:AB31"/>
    <mergeCell ref="U31:V31"/>
    <mergeCell ref="W7:W8"/>
    <mergeCell ref="Z7:AA7"/>
    <mergeCell ref="U7:U8"/>
    <mergeCell ref="W1:AG1"/>
    <mergeCell ref="W2:AG2"/>
    <mergeCell ref="W3:AG3"/>
    <mergeCell ref="Y5:Z5"/>
    <mergeCell ref="W6:X6"/>
    <mergeCell ref="M7:M8"/>
    <mergeCell ref="N7:N8"/>
    <mergeCell ref="O7:P7"/>
    <mergeCell ref="Q7:R7"/>
    <mergeCell ref="W5:X5"/>
    <mergeCell ref="A6:B6"/>
    <mergeCell ref="A5:B5"/>
    <mergeCell ref="C5:D5"/>
    <mergeCell ref="N5:O5"/>
    <mergeCell ref="L5:M5"/>
    <mergeCell ref="L6:M6"/>
    <mergeCell ref="A1:K1"/>
    <mergeCell ref="A2:K2"/>
    <mergeCell ref="A3:K3"/>
    <mergeCell ref="L1:V1"/>
    <mergeCell ref="L2:V2"/>
    <mergeCell ref="L3:V3"/>
    <mergeCell ref="A31:B31"/>
    <mergeCell ref="D31:F31"/>
    <mergeCell ref="J31:K31"/>
    <mergeCell ref="J7:J8"/>
    <mergeCell ref="A7:A8"/>
    <mergeCell ref="B7:B8"/>
    <mergeCell ref="C7:C8"/>
    <mergeCell ref="D7:E7"/>
    <mergeCell ref="F7:G7"/>
    <mergeCell ref="H7:I7"/>
  </mergeCells>
  <pageMargins left="0.2" right="0.2" top="0.25" bottom="0.25" header="0" footer="0"/>
  <pageSetup paperSize="9" scale="90" orientation="landscape" r:id="rId1"/>
  <headerFooter>
    <oddHeader>&amp;RIQAC, SCHOOL OF COMPUTER APPLICATIONS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MSE IA MARKS FORMAT</vt:lpstr>
      <vt:lpstr>OTHER CIA COMPONENTS</vt:lpstr>
      <vt:lpstr>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</dc:creator>
  <cp:lastModifiedBy>Mohd Adil</cp:lastModifiedBy>
  <cp:lastPrinted>2024-10-25T10:06:30Z</cp:lastPrinted>
  <dcterms:created xsi:type="dcterms:W3CDTF">2023-12-28T08:11:23Z</dcterms:created>
  <dcterms:modified xsi:type="dcterms:W3CDTF">2025-10-25T06:34:01Z</dcterms:modified>
</cp:coreProperties>
</file>